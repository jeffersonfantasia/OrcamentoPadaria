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https://jcbrothers-my.sharepoint.com/personal/jefferson_lojasjckids_com_br/Documents/Cursos/OrcamentoPadaria/100_Faturamento/"/>
    </mc:Choice>
  </mc:AlternateContent>
  <xr:revisionPtr revIDLastSave="202" documentId="8_{3FC7CE8A-A8E3-48C6-BAED-60166CE70BF3}" xr6:coauthVersionLast="47" xr6:coauthVersionMax="47" xr10:uidLastSave="{E494F247-7808-42D3-A85F-A6D4BDB55B8A}"/>
  <bookViews>
    <workbookView xWindow="8130" yWindow="3585" windowWidth="23055" windowHeight="15030" activeTab="1" xr2:uid="{64839B45-BED4-44CB-BECE-81EFC6CBC252}"/>
  </bookViews>
  <sheets>
    <sheet name="Parametros" sheetId="1" r:id="rId1"/>
    <sheet name="Erros" sheetId="2" r:id="rId2"/>
    <sheet name="Fim" sheetId="3" r:id="rId3"/>
    <sheet name="Qtd" sheetId="4" r:id="rId4"/>
    <sheet name="Recebe" sheetId="5" r:id="rId5"/>
  </sheets>
  <definedNames>
    <definedName name="DadosExternos_1" localSheetId="1" hidden="1">Erros!$A$1:$C$2</definedName>
    <definedName name="DadosExternos_1" localSheetId="2" hidden="1">Fim!$J$6:$Q$42</definedName>
    <definedName name="DadosExternos_1" localSheetId="3" hidden="1">Qtd!$A$1:$D$13</definedName>
    <definedName name="DadosExternos_1" localSheetId="4" hidden="1">Recebe!$A$1:$D$37</definedName>
    <definedName name="DadosExternos_2" localSheetId="2" hidden="1">Fim!$A$6:$H$18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3" l="1"/>
  <c r="B2" i="3"/>
  <c r="B3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6D79467-512A-48A1-8083-B6A8089FE091}" keepAlive="1" name="Consulta - Datas" description="Conexão com a consulta 'Datas' na pasta de trabalho." type="5" refreshedVersion="0" background="1">
    <dbPr connection="Provider=Microsoft.Mashup.OleDb.1;Data Source=$Workbook$;Location=Datas;Extended Properties=&quot;&quot;" command="SELECT * FROM [Datas]"/>
  </connection>
  <connection id="2" xr16:uid="{1A347BBE-99A3-4053-AE0C-BA271FE615F3}" keepAlive="1" name="Consulta - DivisaoPagamentos" description="Conexão com a consulta 'DivisaoPagamentos' na pasta de trabalho." type="5" refreshedVersion="0" background="1">
    <dbPr connection="Provider=Microsoft.Mashup.OleDb.1;Data Source=$Workbook$;Location=DivisaoPagamentos;Extended Properties=&quot;&quot;" command="SELECT * FROM [DivisaoPagamentos]"/>
  </connection>
  <connection id="3" xr16:uid="{4588997B-802C-4A67-8CE9-9873564AAA74}" keepAlive="1" name="Consulta - DRE" description="Conexão com a consulta 'DRE' na pasta de trabalho." type="5" refreshedVersion="8" background="1" saveData="1">
    <dbPr connection="Provider=Microsoft.Mashup.OleDb.1;Data Source=$Workbook$;Location=DRE;Extended Properties=&quot;&quot;" command="SELECT * FROM [DRE]"/>
  </connection>
  <connection id="4" xr16:uid="{D53B7FDA-D6D3-4DFA-9568-430B20790A4E}" keepAlive="1" name="Consulta - Erros" description="Conexão com a consulta 'Erros' na pasta de trabalho." type="5" refreshedVersion="8" saveData="1">
    <dbPr connection="Provider=Microsoft.Mashup.OleDb.1;Data Source=$Workbook$;Location=Erros;Extended Properties=&quot;&quot;" command="SELECT * FROM [Erros]"/>
  </connection>
  <connection id="5" xr16:uid="{F8B0C039-1598-470F-9DE1-766153D77F8A}" keepAlive="1" name="Consulta - Faturamento" description="Conexão com a consulta 'Faturamento' na pasta de trabalho." type="5" refreshedVersion="0" background="1">
    <dbPr connection="Provider=Microsoft.Mashup.OleDb.1;Data Source=$Workbook$;Location=Faturamento;Extended Properties=&quot;&quot;" command="SELECT * FROM [Faturamento]"/>
  </connection>
  <connection id="6" xr16:uid="{E438A29E-0D79-4823-A245-905789EB94A0}" keepAlive="1" name="Consulta - FLCX" description="Conexão com a consulta 'FLCX' na pasta de trabalho." type="5" refreshedVersion="8" background="1" saveData="1">
    <dbPr connection="Provider=Microsoft.Mashup.OleDb.1;Data Source=$Workbook$;Location=FLCX;Extended Properties=&quot;&quot;" command="SELECT * FROM [FLCX]"/>
  </connection>
  <connection id="7" xr16:uid="{F436059E-E842-44C3-8D05-266BF9425544}" keepAlive="1" name="Consulta - fxExpandeTodasColunas" description="Conexão com a consulta 'fxExpandeTodasColunas' na pasta de trabalho." type="5" refreshedVersion="0" background="1">
    <dbPr connection="Provider=Microsoft.Mashup.OleDb.1;Data Source=$Workbook$;Location=fxExpandeTodasColunas;Extended Properties=&quot;&quot;" command="SELECT * FROM [fxExpandeTodasColunas]"/>
  </connection>
  <connection id="8" xr16:uid="{2B8B4BB2-4D70-4CC1-8A2B-B41691B0FD13}" keepAlive="1" name="Consulta - fxListaUmaDataPorPeriodo" description="Conexão com a consulta 'fxListaUmaDataPorPeriodo' na pasta de trabalho." type="5" refreshedVersion="0" background="1">
    <dbPr connection="Provider=Microsoft.Mashup.OleDb.1;Data Source=$Workbook$;Location=fxListaUmaDataPorPeriodo;Extended Properties=&quot;&quot;" command="SELECT * FROM [fxListaUmaDataPorPeriodo]"/>
  </connection>
  <connection id="9" xr16:uid="{332520F8-47FA-4100-AAA8-F930B176A470}" keepAlive="1" name="Consulta - fxMultiplicacaoAcumulada" description="Conexão com a consulta 'fxMultiplicacaoAcumulada' na pasta de trabalho." type="5" refreshedVersion="0" background="1">
    <dbPr connection="Provider=Microsoft.Mashup.OleDb.1;Data Source=$Workbook$;Location=fxMultiplicacaoAcumulada;Extended Properties=&quot;&quot;" command="SELECT * FROM [fxMultiplicacaoAcumulada]"/>
  </connection>
  <connection id="10" xr16:uid="{C0CDDC9D-0C69-41D8-9E11-17EC28BF0B61}" keepAlive="1" name="Consulta - fxTabelaFim" description="Conexão com a consulta 'fxTabelaFim' na pasta de trabalho." type="5" refreshedVersion="0" background="1">
    <dbPr connection="Provider=Microsoft.Mashup.OleDb.1;Data Source=$Workbook$;Location=fxTabelaFim;Extended Properties=&quot;&quot;" command="SELECT * FROM [fxTabelaFim]"/>
  </connection>
  <connection id="11" xr16:uid="{5734BBA3-62C3-44F9-905F-D748DD3806E4}" keepAlive="1" name="Consulta - fxVerificaErros" description="Conexão com a consulta 'fxVerificaErros' na pasta de trabalho." type="5" refreshedVersion="0" saveData="1">
    <dbPr connection="Provider=Microsoft.Mashup.OleDb.1;Data Source=$Workbook$;Location=fxVerificaErros;Extended Properties=&quot;&quot;" command="SELECT * FROM [fxVerificaErros]"/>
  </connection>
  <connection id="12" xr16:uid="{73D8256D-CB0C-4F9D-870E-2EAFD71628BF}" keepAlive="1" name="Consulta - ParametrosGlobais" description="Conexão com a consulta 'ParametrosGlobais' na pasta de trabalho." type="5" refreshedVersion="0" saveData="1">
    <dbPr connection="Provider=Microsoft.Mashup.OleDb.1;Data Source=$Workbook$;Location=ParametrosGlobais;Extended Properties=&quot;&quot;" command="SELECT * FROM [ParametrosGlobais]"/>
  </connection>
  <connection id="13" xr16:uid="{64ABC487-0B01-46A8-BBA0-C81B6ADC452A}" keepAlive="1" name="Consulta - ParametrosLocais" description="Conexão com a consulta 'ParametrosLocais' na pasta de trabalho." type="5" refreshedVersion="0" saveData="1">
    <dbPr connection="Provider=Microsoft.Mashup.OleDb.1;Data Source=$Workbook$;Location=ParametrosLocais;Extended Properties=&quot;&quot;" command="SELECT * FROM [ParametrosLocais]"/>
  </connection>
  <connection id="14" xr16:uid="{A13C9C9A-7485-48E7-A145-4833EE57E2D0}" keepAlive="1" name="Consulta - pCaminho" description="Conexão com a consulta 'pCaminho' na pasta de trabalho." type="5" refreshedVersion="0" saveData="1">
    <dbPr connection="Provider=Microsoft.Mashup.OleDb.1;Data Source=$Workbook$;Location=pCaminho;Extended Properties=&quot;&quot;" command="SELECT * FROM [pCaminho]"/>
  </connection>
  <connection id="15" xr16:uid="{A1249D23-A022-48A8-89E1-A829A73E32BE}" keepAlive="1" name="Consulta - pCaminhoRaiz" description="Conexão com a consulta 'pCaminhoRaiz' na pasta de trabalho." type="5" refreshedVersion="0" saveData="1">
    <dbPr connection="Provider=Microsoft.Mashup.OleDb.1;Data Source=$Workbook$;Location=pCaminhoRaiz;Extended Properties=&quot;&quot;" command="SELECT * FROM [pCaminhoRaiz]"/>
  </connection>
  <connection id="16" xr16:uid="{FAC8BEC2-92BE-4C09-9FA0-1171FA08E8A4}" keepAlive="1" name="Consulta - pDataFinal" description="Conexão com a consulta 'pDataFinal' na pasta de trabalho." type="5" refreshedVersion="0" saveData="1">
    <dbPr connection="Provider=Microsoft.Mashup.OleDb.1;Data Source=$Workbook$;Location=pDataFinal;Extended Properties=&quot;&quot;" command="SELECT * FROM [pDataFinal]"/>
  </connection>
  <connection id="17" xr16:uid="{36632848-D3B7-435D-9482-8DDDDF8097EF}" keepAlive="1" name="Consulta - pDataInicial" description="Conexão com a consulta 'pDataInicial' na pasta de trabalho." type="5" refreshedVersion="0" saveData="1">
    <dbPr connection="Provider=Microsoft.Mashup.OleDb.1;Data Source=$Workbook$;Location=pDataInicial;Extended Properties=&quot;&quot;" command="SELECT * FROM [pDataInicial]"/>
  </connection>
  <connection id="18" xr16:uid="{8FB52A7C-6C6B-4B87-95EA-8ACF9A6975C1}" keepAlive="1" name="Consulta - PlanoPagamento" description="Conexão com a consulta 'PlanoPagamento' na pasta de trabalho." type="5" refreshedVersion="0" background="1">
    <dbPr connection="Provider=Microsoft.Mashup.OleDb.1;Data Source=$Workbook$;Location=PlanoPagamento;Extended Properties=&quot;&quot;" command="SELECT * FROM [PlanoPagamento]"/>
  </connection>
  <connection id="19" xr16:uid="{5969B08E-9B0F-4E76-AEA8-B02E9127F7E0}" keepAlive="1" name="Consulta - Precos" description="Conexão com a consulta 'Precos' na pasta de trabalho." type="5" refreshedVersion="0" background="1">
    <dbPr connection="Provider=Microsoft.Mashup.OleDb.1;Data Source=$Workbook$;Location=Precos;Extended Properties=&quot;&quot;" command="SELECT * FROM [Precos]"/>
  </connection>
  <connection id="20" xr16:uid="{E9F28069-BDEF-4507-89AF-13BB47CE3AC9}" keepAlive="1" name="Consulta - Quantidades" description="Conexão com a consulta 'Quantidades' na pasta de trabalho." type="5" refreshedVersion="8" background="1" saveData="1">
    <dbPr connection="Provider=Microsoft.Mashup.OleDb.1;Data Source=$Workbook$;Location=Quantidades;Extended Properties=&quot;&quot;" command="SELECT * FROM [Quantidades]"/>
  </connection>
  <connection id="21" xr16:uid="{6488816F-5F9F-4663-8CAA-4D1E9D5D8D03}" keepAlive="1" name="Consulta - ReajustePrecos" description="Conexão com a consulta 'ReajustePrecos' na pasta de trabalho." type="5" refreshedVersion="0" background="1">
    <dbPr connection="Provider=Microsoft.Mashup.OleDb.1;Data Source=$Workbook$;Location=ReajustePrecos;Extended Properties=&quot;&quot;" command="SELECT * FROM [ReajustePrecos]"/>
  </connection>
  <connection id="22" xr16:uid="{A5D752D1-1376-4A2D-BB19-BDC4CF468D19}" keepAlive="1" name="Consulta - Recebimento" description="Conexão com a consulta 'Recebimento' na pasta de trabalho." type="5" refreshedVersion="8" background="1" saveData="1">
    <dbPr connection="Provider=Microsoft.Mashup.OleDb.1;Data Source=$Workbook$;Location=Recebimento;Extended Properties=&quot;&quot;" command="SELECT * FROM [Recebimento]"/>
  </connection>
</connections>
</file>

<file path=xl/sharedStrings.xml><?xml version="1.0" encoding="utf-8"?>
<sst xmlns="http://schemas.openxmlformats.org/spreadsheetml/2006/main" count="378" uniqueCount="48">
  <si>
    <t>Valor</t>
  </si>
  <si>
    <t>Descricao</t>
  </si>
  <si>
    <t>Local</t>
  </si>
  <si>
    <t>Caminho do arquivo onde está salvo</t>
  </si>
  <si>
    <t>Arquivo</t>
  </si>
  <si>
    <t>Nome do arquivo</t>
  </si>
  <si>
    <t>Last Refresh</t>
  </si>
  <si>
    <t>Data da última atualização</t>
  </si>
  <si>
    <t>Parametro</t>
  </si>
  <si>
    <t>Name</t>
  </si>
  <si>
    <t>Detail</t>
  </si>
  <si>
    <t>Message</t>
  </si>
  <si>
    <t>https://jcbrothers-my.sharepoint.com/personal/jefferson_lojasjckids_com_br/Documents/Cursos/OrcamentoPadaria/100_Faturamento</t>
  </si>
  <si>
    <t>BASE DRE</t>
  </si>
  <si>
    <t>DRE</t>
  </si>
  <si>
    <t>FLCX</t>
  </si>
  <si>
    <t>EMPRESA</t>
  </si>
  <si>
    <t>FILIAL</t>
  </si>
  <si>
    <t>NEGOCIO</t>
  </si>
  <si>
    <t>DATA</t>
  </si>
  <si>
    <t>VALOR</t>
  </si>
  <si>
    <t>HISTORICO</t>
  </si>
  <si>
    <t>CONTA</t>
  </si>
  <si>
    <t>CENCUS</t>
  </si>
  <si>
    <t>1</t>
  </si>
  <si>
    <t>FATURAMENTO PREV. - PERIODO 01/2025</t>
  </si>
  <si>
    <t>3101</t>
  </si>
  <si>
    <t>99</t>
  </si>
  <si>
    <t>FATURAMENTO PREV. - PERIODO 02/2025</t>
  </si>
  <si>
    <t>FATURAMENTO PREV. - PERIODO 03/2025</t>
  </si>
  <si>
    <t>FATURAMENTO PREV. - PERIODO 04/2025</t>
  </si>
  <si>
    <t>FATURAMENTO PREV. - PERIODO 05/2025</t>
  </si>
  <si>
    <t>FATURAMENTO PREV. - PERIODO 06/2025</t>
  </si>
  <si>
    <t>FATURAMENTO PREV. - PERIODO 07/2025</t>
  </si>
  <si>
    <t>FATURAMENTO PREV. - PERIODO 08/2025</t>
  </si>
  <si>
    <t>FATURAMENTO PREV. - PERIODO 09/2025</t>
  </si>
  <si>
    <t>FATURAMENTO PREV. - PERIODO 10/2025</t>
  </si>
  <si>
    <t>FATURAMENTO PREV. - PERIODO 11/2025</t>
  </si>
  <si>
    <t>FATURAMENTO PREV. - PERIODO 12/2025</t>
  </si>
  <si>
    <t>BASE FLCX</t>
  </si>
  <si>
    <t>ZZZ_Trampolim.xlsm</t>
  </si>
  <si>
    <t>CODFILIAL</t>
  </si>
  <si>
    <t>CODPROD</t>
  </si>
  <si>
    <t>Data</t>
  </si>
  <si>
    <t>QUANTIDADE</t>
  </si>
  <si>
    <t>DataRecebe</t>
  </si>
  <si>
    <t>CODPLPAG</t>
  </si>
  <si>
    <t>ValorRecebido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</si>
</sst>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8">
    <xf numFmtId="0" fontId="0" fillId="0" borderId="0" xfId="0"/>
    <xf numFmtId="22" fontId="0" fillId="0" borderId="0" xfId="0" applyNumberFormat="1" applyAlignment="1">
      <alignment horizontal="left"/>
    </xf>
    <xf numFmtId="0" fontId="2" fillId="2" borderId="1" xfId="0" applyFont="1" applyFill="1" applyBorder="1"/>
    <xf numFmtId="0" fontId="2" fillId="3" borderId="2" xfId="0" applyFont="1" applyFill="1" applyBorder="1"/>
    <xf numFmtId="14" fontId="0" fillId="0" borderId="0" xfId="0" applyNumberFormat="1"/>
    <xf numFmtId="4" fontId="0" fillId="0" borderId="0" xfId="0" applyNumberFormat="1"/>
    <xf numFmtId="4" fontId="0" fillId="4" borderId="0" xfId="0" applyNumberFormat="1" applyFill="1"/>
    <xf numFmtId="4" fontId="0" fillId="5" borderId="0" xfId="0" applyNumberFormat="1" applyFill="1"/>
  </cellXfs>
  <cellStyles count="1">
    <cellStyle name="Normal" xfId="0" builtinId="0"/>
  </cellStyles>
  <dxfs count="9">
    <dxf>
      <numFmt numFmtId="4" formatCode="#,##0.00"/>
    </dxf>
    <dxf>
      <numFmt numFmtId="164" formatCode="m/d/yyyy"/>
    </dxf>
    <dxf>
      <numFmt numFmtId="0" formatCode="General"/>
    </dxf>
    <dxf>
      <numFmt numFmtId="164" formatCode="m/d/yyyy"/>
    </dxf>
    <dxf>
      <numFmt numFmtId="0" formatCode="General"/>
    </dxf>
    <dxf>
      <numFmt numFmtId="4" formatCode="#,##0.00"/>
    </dxf>
    <dxf>
      <numFmt numFmtId="164" formatCode="m/d/yyyy"/>
    </dxf>
    <dxf>
      <numFmt numFmtId="4" formatCode="#,##0.00"/>
    </dxf>
    <dxf>
      <numFmt numFmtId="164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4</xdr:row>
          <xdr:rowOff>180975</xdr:rowOff>
        </xdr:from>
        <xdr:to>
          <xdr:col>2</xdr:col>
          <xdr:colOff>2209800</xdr:colOff>
          <xdr:row>7</xdr:row>
          <xdr:rowOff>95250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Aptos Narrow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4" xr16:uid="{ED5FCB6C-909E-4E57-8578-E30BF114D5A3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Detail" tableColumnId="2"/>
      <queryTableField id="3" name="Messag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6" xr16:uid="{10B539C6-09D9-4CCF-8D3C-283F5927611B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connectionId="3" xr16:uid="{34F55B9B-15C3-4009-8C4A-8082BA52DC64}" autoFormatId="16" applyNumberFormats="0" applyBorderFormats="0" applyFontFormats="0" applyPatternFormats="0" applyAlignmentFormats="0" applyWidthHeightFormats="0">
  <queryTableRefresh nextId="9">
    <queryTableFields count="8">
      <queryTableField id="1" name="EMPRESA" tableColumnId="1"/>
      <queryTableField id="2" name="FILIAL" tableColumnId="2"/>
      <queryTableField id="3" name="NEGOCIO" tableColumnId="3"/>
      <queryTableField id="4" name="DATA" tableColumnId="4"/>
      <queryTableField id="5" name="VALOR" tableColumnId="5"/>
      <queryTableField id="6" name="HISTORICO" tableColumnId="6"/>
      <queryTableField id="7" name="CONTA" tableColumnId="7"/>
      <queryTableField id="8" name="CENCUS" tableColumnId="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0" xr16:uid="{C48309CD-F763-4F78-9A2A-C597B52EB809}" autoFormatId="16" applyNumberFormats="0" applyBorderFormats="0" applyFontFormats="0" applyPatternFormats="0" applyAlignmentFormats="0" applyWidthHeightFormats="0">
  <queryTableRefresh nextId="5">
    <queryTableFields count="4">
      <queryTableField id="1" name="CODFILIAL" tableColumnId="1"/>
      <queryTableField id="2" name="CODPROD" tableColumnId="2"/>
      <queryTableField id="3" name="Data" tableColumnId="3"/>
      <queryTableField id="4" name="QUANTIDADE" tableColumnId="4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2" xr16:uid="{67CFAF89-5CD5-4F2F-B6CA-51CA89565006}" autoFormatId="16" applyNumberFormats="0" applyBorderFormats="0" applyFontFormats="0" applyPatternFormats="0" applyAlignmentFormats="0" applyWidthHeightFormats="0">
  <queryTableRefresh nextId="5">
    <queryTableFields count="4">
      <queryTableField id="1" name="CODFILIAL" tableColumnId="1"/>
      <queryTableField id="2" name="DataRecebe" tableColumnId="2"/>
      <queryTableField id="3" name="CODPLPAG" tableColumnId="3"/>
      <queryTableField id="4" name="ValorRecebido" tableColumnId="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BAD96-040E-4ED1-87CD-CC35A36049C1}" name="ParametrosLocais" displayName="ParametrosLocais" ref="A1:C4" totalsRowShown="0">
  <autoFilter ref="A1:C4" xr:uid="{4CCBAD96-040E-4ED1-87CD-CC35A36049C1}"/>
  <tableColumns count="3">
    <tableColumn id="1" xr3:uid="{9EFAD6E3-1649-41A4-A89A-C5BCBDC84B9B}" name="Parametro"/>
    <tableColumn id="2" xr3:uid="{57ECCE2D-F468-453F-B00F-2B313D148309}" name="Valor"/>
    <tableColumn id="3" xr3:uid="{E8ABBF16-0CD0-4B81-BEB1-A821EB646F59}" name="Descrica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DCCA6C-23F2-4DF6-9F1B-C24C1BEC9764}" name="Erros" displayName="Erros" ref="A1:C2" tableType="queryTable" insertRow="1" totalsRowShown="0">
  <autoFilter ref="A1:C2" xr:uid="{12DCCA6C-23F2-4DF6-9F1B-C24C1BEC9764}"/>
  <tableColumns count="3">
    <tableColumn id="1" xr3:uid="{0985609E-B35D-4718-B5D5-15D1650E9A90}" uniqueName="1" name="Name" queryTableFieldId="1"/>
    <tableColumn id="2" xr3:uid="{0D62EA26-37D8-433D-95C5-23BAC3AE65A3}" uniqueName="2" name="Detail" queryTableFieldId="2"/>
    <tableColumn id="3" xr3:uid="{E43541A9-8B51-4111-AC80-150C6DB6E1A7}" uniqueName="3" name="Message" queryTableFieldId="3"/>
  </tableColumns>
  <tableStyleInfo name="TableStyleLight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FE9BDAB-AA11-46B8-9F3A-EC348300D7F1}" name="FLCX" displayName="FLCX" ref="J6:Q42" tableType="queryTable" totalsRowShown="0">
  <autoFilter ref="J6:Q42" xr:uid="{2FE9BDAB-AA11-46B8-9F3A-EC348300D7F1}"/>
  <tableColumns count="8">
    <tableColumn id="1" xr3:uid="{4CE34D0B-D274-4A84-9021-9C67BA563C0D}" uniqueName="1" name="EMPRESA" queryTableFieldId="1"/>
    <tableColumn id="2" xr3:uid="{94082A55-9D2C-4459-8E37-3290DDBED9D6}" uniqueName="2" name="FILIAL" queryTableFieldId="2"/>
    <tableColumn id="3" xr3:uid="{6D152225-F63F-4EFC-B61C-35D5B001D000}" uniqueName="3" name="NEGOCIO" queryTableFieldId="3"/>
    <tableColumn id="4" xr3:uid="{072E3FBC-830F-4FC5-8A0F-90D50415F031}" uniqueName="4" name="DATA" queryTableFieldId="4" dataDxfId="8"/>
    <tableColumn id="5" xr3:uid="{0ED4092C-E4F2-4BBD-A68D-3732127329F5}" uniqueName="5" name="VALOR" queryTableFieldId="5" dataDxfId="7"/>
    <tableColumn id="6" xr3:uid="{8908134C-11EF-4D84-99BD-8831257577F8}" uniqueName="6" name="HISTORICO" queryTableFieldId="6"/>
    <tableColumn id="7" xr3:uid="{049DEE01-1C03-454B-98CC-667C93370FD1}" uniqueName="7" name="CONTA" queryTableFieldId="7"/>
    <tableColumn id="8" xr3:uid="{6985EF1A-210F-4635-8D19-F977A157E7C6}" uniqueName="8" name="CENCUS" queryTableFieldId="8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1B173A2-BA1E-486E-A725-D1785D835BAC}" name="DRE" displayName="DRE" ref="A6:H18" tableType="queryTable" totalsRowShown="0">
  <autoFilter ref="A6:H18" xr:uid="{D1B173A2-BA1E-486E-A725-D1785D835BAC}"/>
  <tableColumns count="8">
    <tableColumn id="1" xr3:uid="{8D3D185D-772A-4371-9ECB-FEA5041DCB3C}" uniqueName="1" name="EMPRESA" queryTableFieldId="1"/>
    <tableColumn id="2" xr3:uid="{3092EB34-7243-4734-A7A0-E0FCB3BBFEF4}" uniqueName="2" name="FILIAL" queryTableFieldId="2"/>
    <tableColumn id="3" xr3:uid="{29A9D9CE-D7D1-44A4-A405-94EB243ADC7A}" uniqueName="3" name="NEGOCIO" queryTableFieldId="3"/>
    <tableColumn id="4" xr3:uid="{62108B42-DF0A-4DE2-A890-76E5D8D73A58}" uniqueName="4" name="DATA" queryTableFieldId="4" dataDxfId="6"/>
    <tableColumn id="5" xr3:uid="{93AB078A-138B-4ECD-9C85-6D09FE48D31C}" uniqueName="5" name="VALOR" queryTableFieldId="5" dataDxfId="5"/>
    <tableColumn id="6" xr3:uid="{C7731D39-673F-4896-8D26-7EAA4E18AC96}" uniqueName="6" name="HISTORICO" queryTableFieldId="6"/>
    <tableColumn id="7" xr3:uid="{36F8F902-A40C-4436-9D89-39E6FB54ED2B}" uniqueName="7" name="CONTA" queryTableFieldId="7"/>
    <tableColumn id="8" xr3:uid="{5FE2611F-5980-417C-8033-4156ECD39940}" uniqueName="8" name="CENCUS" queryTableField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1F4035-5CD7-4376-8661-F856A6B0D224}" name="Quantidades" displayName="Quantidades" ref="A1:D13" tableType="queryTable" totalsRowShown="0">
  <autoFilter ref="A1:D13" xr:uid="{371F4035-5CD7-4376-8661-F856A6B0D224}"/>
  <tableColumns count="4">
    <tableColumn id="1" xr3:uid="{E1DDF7F7-0BDF-48C0-9EF8-1F69F3595A6A}" uniqueName="1" name="CODFILIAL" queryTableFieldId="1" dataDxfId="4"/>
    <tableColumn id="2" xr3:uid="{71AA8E44-5199-47B7-A6FC-718EB9C2232C}" uniqueName="2" name="CODPROD" queryTableFieldId="2"/>
    <tableColumn id="3" xr3:uid="{6A901C4F-8E5C-40DF-9534-FC7B978D79B7}" uniqueName="3" name="Data" queryTableFieldId="3" dataDxfId="3"/>
    <tableColumn id="4" xr3:uid="{37E86152-097E-4815-93EF-48435AABB31E}" uniqueName="4" name="QUANTIDADE" queryTableFieldId="4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ACC60FB-711A-433B-92D8-BF3966600B50}" name="Recebimento" displayName="Recebimento" ref="A1:D37" tableType="queryTable" totalsRowShown="0">
  <autoFilter ref="A1:D37" xr:uid="{BACC60FB-711A-433B-92D8-BF3966600B50}"/>
  <tableColumns count="4">
    <tableColumn id="1" xr3:uid="{4FCBCE0D-F5AF-4317-B261-EB6C79F7524C}" uniqueName="1" name="CODFILIAL" queryTableFieldId="1" dataDxfId="2"/>
    <tableColumn id="2" xr3:uid="{ADEEAEC6-4826-47DA-9C4E-6CCF907D0D10}" uniqueName="2" name="DataRecebe" queryTableFieldId="2" dataDxfId="1"/>
    <tableColumn id="3" xr3:uid="{136CF305-AE02-4FE7-99CB-1CEFBF772C69}" uniqueName="3" name="CODPLPAG" queryTableFieldId="3"/>
    <tableColumn id="4" xr3:uid="{1B1FA6E0-0F19-4495-871A-BDA16FECD662}" uniqueName="4" name="ValorRecebido" queryTableFieldId="4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6ACF9-965E-4C21-90F6-FBF4CA6BA97D}">
  <sheetPr codeName="Planilha1"/>
  <dimension ref="A1:C4"/>
  <sheetViews>
    <sheetView showGridLines="0" workbookViewId="0">
      <selection activeCell="B8" sqref="B8"/>
    </sheetView>
  </sheetViews>
  <sheetFormatPr defaultRowHeight="15" x14ac:dyDescent="0.25"/>
  <cols>
    <col min="1" max="1" width="18.28515625" customWidth="1"/>
    <col min="2" max="2" width="48.140625" customWidth="1"/>
    <col min="3" max="3" width="33.85546875" bestFit="1" customWidth="1"/>
  </cols>
  <sheetData>
    <row r="1" spans="1:3" x14ac:dyDescent="0.25">
      <c r="A1" t="s">
        <v>8</v>
      </c>
      <c r="B1" t="s">
        <v>0</v>
      </c>
      <c r="C1" t="s">
        <v>1</v>
      </c>
    </row>
    <row r="2" spans="1:3" x14ac:dyDescent="0.25">
      <c r="A2" t="s">
        <v>2</v>
      </c>
      <c r="B2" t="s">
        <v>12</v>
      </c>
      <c r="C2" t="s">
        <v>3</v>
      </c>
    </row>
    <row r="3" spans="1:3" x14ac:dyDescent="0.25">
      <c r="A3" t="s">
        <v>4</v>
      </c>
      <c r="B3" t="s">
        <v>40</v>
      </c>
      <c r="C3" t="s">
        <v>5</v>
      </c>
    </row>
    <row r="4" spans="1:3" x14ac:dyDescent="0.25">
      <c r="A4" t="s">
        <v>6</v>
      </c>
      <c r="B4" s="1">
        <v>45583.702997685185</v>
      </c>
      <c r="C4" t="s">
        <v>7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tualizar">
                <anchor moveWithCells="1" sizeWithCells="1">
                  <from>
                    <xdr:col>2</xdr:col>
                    <xdr:colOff>95250</xdr:colOff>
                    <xdr:row>4</xdr:row>
                    <xdr:rowOff>180975</xdr:rowOff>
                  </from>
                  <to>
                    <xdr:col>2</xdr:col>
                    <xdr:colOff>2209800</xdr:colOff>
                    <xdr:row>7</xdr:row>
                    <xdr:rowOff>95250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9131E-F761-4DCE-881A-C5D481AD6E3F}">
  <sheetPr codeName="Planilha2"/>
  <dimension ref="A1:C1"/>
  <sheetViews>
    <sheetView showGridLines="0" tabSelected="1" workbookViewId="0">
      <selection sqref="A1:C2"/>
    </sheetView>
  </sheetViews>
  <sheetFormatPr defaultRowHeight="15" x14ac:dyDescent="0.25"/>
  <cols>
    <col min="1" max="1" width="8.5703125" bestFit="1" customWidth="1"/>
    <col min="2" max="2" width="8.7109375" bestFit="1" customWidth="1"/>
    <col min="3" max="3" width="11.140625" bestFit="1" customWidth="1"/>
  </cols>
  <sheetData>
    <row r="1" spans="1:3" x14ac:dyDescent="0.25">
      <c r="A1" t="s">
        <v>9</v>
      </c>
      <c r="B1" t="s">
        <v>10</v>
      </c>
      <c r="C1" t="s">
        <v>11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10A3FC-726B-4AC2-B887-CBF5825BB15D}">
  <sheetPr codeName="Planilha3"/>
  <dimension ref="A1:Q42"/>
  <sheetViews>
    <sheetView showGridLines="0" workbookViewId="0">
      <selection activeCell="D2" sqref="D2"/>
    </sheetView>
  </sheetViews>
  <sheetFormatPr defaultRowHeight="15" x14ac:dyDescent="0.25"/>
  <cols>
    <col min="1" max="1" width="11.85546875" bestFit="1" customWidth="1"/>
    <col min="2" max="2" width="11.7109375" bestFit="1" customWidth="1"/>
    <col min="3" max="3" width="12.140625" bestFit="1" customWidth="1"/>
    <col min="4" max="4" width="10.5703125" bestFit="1" customWidth="1"/>
    <col min="5" max="5" width="10.28515625" bestFit="1" customWidth="1"/>
    <col min="6" max="6" width="37.28515625" bestFit="1" customWidth="1"/>
    <col min="7" max="7" width="9.7109375" bestFit="1" customWidth="1"/>
    <col min="8" max="8" width="11.140625" bestFit="1" customWidth="1"/>
    <col min="10" max="10" width="11.85546875" bestFit="1" customWidth="1"/>
    <col min="11" max="11" width="8.5703125" bestFit="1" customWidth="1"/>
    <col min="12" max="12" width="12.140625" bestFit="1" customWidth="1"/>
    <col min="13" max="13" width="10.5703125" bestFit="1" customWidth="1"/>
    <col min="14" max="14" width="10.28515625" bestFit="1" customWidth="1"/>
    <col min="15" max="15" width="37.28515625" bestFit="1" customWidth="1"/>
    <col min="16" max="16" width="9.7109375" bestFit="1" customWidth="1"/>
    <col min="17" max="17" width="11.140625" bestFit="1" customWidth="1"/>
  </cols>
  <sheetData>
    <row r="1" spans="1:17" x14ac:dyDescent="0.25">
      <c r="A1" s="3" t="s">
        <v>14</v>
      </c>
      <c r="B1" s="6">
        <f>SUM(DRE[VALOR])</f>
        <v>1272983.8704000004</v>
      </c>
    </row>
    <row r="2" spans="1:17" x14ac:dyDescent="0.25">
      <c r="A2" s="2" t="s">
        <v>15</v>
      </c>
      <c r="B2" s="7">
        <f>SUM(FLCX[VALOR])</f>
        <v>1272983.8704000001</v>
      </c>
    </row>
    <row r="3" spans="1:17" x14ac:dyDescent="0.25">
      <c r="B3" s="5">
        <f>B1-B2</f>
        <v>0</v>
      </c>
    </row>
    <row r="5" spans="1:17" x14ac:dyDescent="0.25">
      <c r="A5" t="s">
        <v>13</v>
      </c>
      <c r="J5" t="s">
        <v>39</v>
      </c>
    </row>
    <row r="6" spans="1:17" x14ac:dyDescent="0.25">
      <c r="A6" t="s">
        <v>16</v>
      </c>
      <c r="B6" t="s">
        <v>17</v>
      </c>
      <c r="C6" t="s">
        <v>18</v>
      </c>
      <c r="D6" t="s">
        <v>19</v>
      </c>
      <c r="E6" t="s">
        <v>20</v>
      </c>
      <c r="F6" t="s">
        <v>21</v>
      </c>
      <c r="G6" t="s">
        <v>22</v>
      </c>
      <c r="H6" t="s">
        <v>23</v>
      </c>
      <c r="J6" t="s">
        <v>16</v>
      </c>
      <c r="K6" t="s">
        <v>17</v>
      </c>
      <c r="L6" t="s">
        <v>18</v>
      </c>
      <c r="M6" t="s">
        <v>19</v>
      </c>
      <c r="N6" t="s">
        <v>20</v>
      </c>
      <c r="O6" t="s">
        <v>21</v>
      </c>
      <c r="P6" t="s">
        <v>22</v>
      </c>
      <c r="Q6" t="s">
        <v>23</v>
      </c>
    </row>
    <row r="7" spans="1:17" x14ac:dyDescent="0.25">
      <c r="A7" t="s">
        <v>24</v>
      </c>
      <c r="B7" t="s">
        <v>24</v>
      </c>
      <c r="C7" t="s">
        <v>24</v>
      </c>
      <c r="D7" s="4">
        <v>45658</v>
      </c>
      <c r="E7" s="5">
        <v>82500</v>
      </c>
      <c r="F7" t="s">
        <v>25</v>
      </c>
      <c r="G7" t="s">
        <v>26</v>
      </c>
      <c r="H7" t="s">
        <v>27</v>
      </c>
      <c r="J7" t="s">
        <v>24</v>
      </c>
      <c r="K7" t="s">
        <v>24</v>
      </c>
      <c r="L7" t="s">
        <v>24</v>
      </c>
      <c r="M7" s="4">
        <v>45658</v>
      </c>
      <c r="N7" s="5">
        <v>8250</v>
      </c>
      <c r="O7" t="s">
        <v>25</v>
      </c>
      <c r="P7" t="s">
        <v>26</v>
      </c>
      <c r="Q7" t="s">
        <v>27</v>
      </c>
    </row>
    <row r="8" spans="1:17" x14ac:dyDescent="0.25">
      <c r="A8" t="s">
        <v>24</v>
      </c>
      <c r="B8" t="s">
        <v>24</v>
      </c>
      <c r="C8" t="s">
        <v>24</v>
      </c>
      <c r="D8" s="4">
        <v>45689</v>
      </c>
      <c r="E8" s="5">
        <v>59400.000000000007</v>
      </c>
      <c r="F8" t="s">
        <v>28</v>
      </c>
      <c r="G8" t="s">
        <v>26</v>
      </c>
      <c r="H8" t="s">
        <v>27</v>
      </c>
      <c r="J8" t="s">
        <v>24</v>
      </c>
      <c r="K8" t="s">
        <v>24</v>
      </c>
      <c r="L8" t="s">
        <v>24</v>
      </c>
      <c r="M8" s="4">
        <v>45689</v>
      </c>
      <c r="N8" s="5">
        <v>5940.0000000000009</v>
      </c>
      <c r="O8" t="s">
        <v>28</v>
      </c>
      <c r="P8" t="s">
        <v>26</v>
      </c>
      <c r="Q8" t="s">
        <v>27</v>
      </c>
    </row>
    <row r="9" spans="1:17" x14ac:dyDescent="0.25">
      <c r="A9" t="s">
        <v>24</v>
      </c>
      <c r="B9" t="s">
        <v>24</v>
      </c>
      <c r="C9" t="s">
        <v>24</v>
      </c>
      <c r="D9" s="4">
        <v>45717</v>
      </c>
      <c r="E9" s="5">
        <v>91773.000000000015</v>
      </c>
      <c r="F9" t="s">
        <v>29</v>
      </c>
      <c r="G9" t="s">
        <v>26</v>
      </c>
      <c r="H9" t="s">
        <v>27</v>
      </c>
      <c r="J9" t="s">
        <v>24</v>
      </c>
      <c r="K9" t="s">
        <v>24</v>
      </c>
      <c r="L9" t="s">
        <v>24</v>
      </c>
      <c r="M9" s="4">
        <v>45658</v>
      </c>
      <c r="N9" s="5">
        <v>16500</v>
      </c>
      <c r="O9" t="s">
        <v>25</v>
      </c>
      <c r="P9" t="s">
        <v>26</v>
      </c>
      <c r="Q9" t="s">
        <v>27</v>
      </c>
    </row>
    <row r="10" spans="1:17" x14ac:dyDescent="0.25">
      <c r="A10" t="s">
        <v>24</v>
      </c>
      <c r="B10" t="s">
        <v>24</v>
      </c>
      <c r="C10" t="s">
        <v>24</v>
      </c>
      <c r="D10" s="4">
        <v>45748</v>
      </c>
      <c r="E10" s="5">
        <v>64581.000000000007</v>
      </c>
      <c r="F10" t="s">
        <v>30</v>
      </c>
      <c r="G10" t="s">
        <v>26</v>
      </c>
      <c r="H10" t="s">
        <v>27</v>
      </c>
      <c r="J10" t="s">
        <v>24</v>
      </c>
      <c r="K10" t="s">
        <v>24</v>
      </c>
      <c r="L10" t="s">
        <v>24</v>
      </c>
      <c r="M10" s="4">
        <v>45658</v>
      </c>
      <c r="N10" s="5">
        <v>57749.999999999993</v>
      </c>
      <c r="O10" t="s">
        <v>25</v>
      </c>
      <c r="P10" t="s">
        <v>26</v>
      </c>
      <c r="Q10" t="s">
        <v>27</v>
      </c>
    </row>
    <row r="11" spans="1:17" x14ac:dyDescent="0.25">
      <c r="A11" t="s">
        <v>24</v>
      </c>
      <c r="B11" t="s">
        <v>24</v>
      </c>
      <c r="C11" t="s">
        <v>24</v>
      </c>
      <c r="D11" s="4">
        <v>45778</v>
      </c>
      <c r="E11" s="5">
        <v>81304.080000000031</v>
      </c>
      <c r="F11" t="s">
        <v>31</v>
      </c>
      <c r="G11" t="s">
        <v>26</v>
      </c>
      <c r="H11" t="s">
        <v>27</v>
      </c>
      <c r="J11" t="s">
        <v>24</v>
      </c>
      <c r="K11" t="s">
        <v>24</v>
      </c>
      <c r="L11" t="s">
        <v>24</v>
      </c>
      <c r="M11" s="4">
        <v>45689</v>
      </c>
      <c r="N11" s="5">
        <v>11880.000000000002</v>
      </c>
      <c r="O11" t="s">
        <v>28</v>
      </c>
      <c r="P11" t="s">
        <v>26</v>
      </c>
      <c r="Q11" t="s">
        <v>27</v>
      </c>
    </row>
    <row r="12" spans="1:17" x14ac:dyDescent="0.25">
      <c r="A12" t="s">
        <v>24</v>
      </c>
      <c r="B12" t="s">
        <v>24</v>
      </c>
      <c r="C12" t="s">
        <v>24</v>
      </c>
      <c r="D12" s="4">
        <v>45809</v>
      </c>
      <c r="E12" s="5">
        <v>77769.120000000024</v>
      </c>
      <c r="F12" t="s">
        <v>32</v>
      </c>
      <c r="G12" t="s">
        <v>26</v>
      </c>
      <c r="H12" t="s">
        <v>27</v>
      </c>
      <c r="J12" t="s">
        <v>24</v>
      </c>
      <c r="K12" t="s">
        <v>24</v>
      </c>
      <c r="L12" t="s">
        <v>24</v>
      </c>
      <c r="M12" s="4">
        <v>45717</v>
      </c>
      <c r="N12" s="5">
        <v>41580</v>
      </c>
      <c r="O12" t="s">
        <v>29</v>
      </c>
      <c r="P12" t="s">
        <v>26</v>
      </c>
      <c r="Q12" t="s">
        <v>27</v>
      </c>
    </row>
    <row r="13" spans="1:17" x14ac:dyDescent="0.25">
      <c r="A13" t="s">
        <v>24</v>
      </c>
      <c r="B13" t="s">
        <v>24</v>
      </c>
      <c r="C13" t="s">
        <v>24</v>
      </c>
      <c r="D13" s="4">
        <v>45839</v>
      </c>
      <c r="E13" s="5">
        <v>141398.40000000002</v>
      </c>
      <c r="F13" t="s">
        <v>33</v>
      </c>
      <c r="G13" t="s">
        <v>26</v>
      </c>
      <c r="H13" t="s">
        <v>27</v>
      </c>
      <c r="J13" t="s">
        <v>24</v>
      </c>
      <c r="K13" t="s">
        <v>24</v>
      </c>
      <c r="L13" t="s">
        <v>24</v>
      </c>
      <c r="M13" s="4">
        <v>45717</v>
      </c>
      <c r="N13" s="5">
        <v>9177.3000000000011</v>
      </c>
      <c r="O13" t="s">
        <v>29</v>
      </c>
      <c r="P13" t="s">
        <v>26</v>
      </c>
      <c r="Q13" t="s">
        <v>27</v>
      </c>
    </row>
    <row r="14" spans="1:17" x14ac:dyDescent="0.25">
      <c r="A14" t="s">
        <v>24</v>
      </c>
      <c r="B14" t="s">
        <v>24</v>
      </c>
      <c r="C14" t="s">
        <v>24</v>
      </c>
      <c r="D14" s="4">
        <v>45870</v>
      </c>
      <c r="E14" s="5">
        <v>126198.07200000004</v>
      </c>
      <c r="F14" t="s">
        <v>34</v>
      </c>
      <c r="G14" t="s">
        <v>26</v>
      </c>
      <c r="H14" t="s">
        <v>27</v>
      </c>
      <c r="J14" t="s">
        <v>24</v>
      </c>
      <c r="K14" t="s">
        <v>24</v>
      </c>
      <c r="L14" t="s">
        <v>24</v>
      </c>
      <c r="M14" s="4">
        <v>45717</v>
      </c>
      <c r="N14" s="5">
        <v>18354.600000000002</v>
      </c>
      <c r="O14" t="s">
        <v>29</v>
      </c>
      <c r="P14" t="s">
        <v>26</v>
      </c>
      <c r="Q14" t="s">
        <v>27</v>
      </c>
    </row>
    <row r="15" spans="1:17" x14ac:dyDescent="0.25">
      <c r="A15" t="s">
        <v>24</v>
      </c>
      <c r="B15" t="s">
        <v>24</v>
      </c>
      <c r="C15" t="s">
        <v>24</v>
      </c>
      <c r="D15" s="4">
        <v>45901</v>
      </c>
      <c r="E15" s="5">
        <v>118986.75360000004</v>
      </c>
      <c r="F15" t="s">
        <v>35</v>
      </c>
      <c r="G15" t="s">
        <v>26</v>
      </c>
      <c r="H15" t="s">
        <v>27</v>
      </c>
      <c r="J15" t="s">
        <v>24</v>
      </c>
      <c r="K15" t="s">
        <v>24</v>
      </c>
      <c r="L15" t="s">
        <v>24</v>
      </c>
      <c r="M15" s="4">
        <v>45717</v>
      </c>
      <c r="N15" s="5">
        <v>64241.100000000006</v>
      </c>
      <c r="O15" t="s">
        <v>29</v>
      </c>
      <c r="P15" t="s">
        <v>26</v>
      </c>
      <c r="Q15" t="s">
        <v>27</v>
      </c>
    </row>
    <row r="16" spans="1:17" x14ac:dyDescent="0.25">
      <c r="A16" t="s">
        <v>24</v>
      </c>
      <c r="B16" t="s">
        <v>24</v>
      </c>
      <c r="C16" t="s">
        <v>24</v>
      </c>
      <c r="D16" s="4">
        <v>45931</v>
      </c>
      <c r="E16" s="5">
        <v>111775.43520000004</v>
      </c>
      <c r="F16" t="s">
        <v>36</v>
      </c>
      <c r="G16" t="s">
        <v>26</v>
      </c>
      <c r="H16" t="s">
        <v>27</v>
      </c>
      <c r="J16" t="s">
        <v>24</v>
      </c>
      <c r="K16" t="s">
        <v>24</v>
      </c>
      <c r="L16" t="s">
        <v>24</v>
      </c>
      <c r="M16" s="4">
        <v>45748</v>
      </c>
      <c r="N16" s="5">
        <v>6458.1000000000013</v>
      </c>
      <c r="O16" t="s">
        <v>30</v>
      </c>
      <c r="P16" t="s">
        <v>26</v>
      </c>
      <c r="Q16" t="s">
        <v>27</v>
      </c>
    </row>
    <row r="17" spans="1:17" x14ac:dyDescent="0.25">
      <c r="A17" t="s">
        <v>24</v>
      </c>
      <c r="B17" t="s">
        <v>24</v>
      </c>
      <c r="C17" t="s">
        <v>24</v>
      </c>
      <c r="D17" s="4">
        <v>45962</v>
      </c>
      <c r="E17" s="5">
        <v>137015.04960000003</v>
      </c>
      <c r="F17" t="s">
        <v>37</v>
      </c>
      <c r="G17" t="s">
        <v>26</v>
      </c>
      <c r="H17" t="s">
        <v>27</v>
      </c>
      <c r="J17" t="s">
        <v>24</v>
      </c>
      <c r="K17" t="s">
        <v>24</v>
      </c>
      <c r="L17" t="s">
        <v>24</v>
      </c>
      <c r="M17" s="4">
        <v>45748</v>
      </c>
      <c r="N17" s="5">
        <v>12916.200000000003</v>
      </c>
      <c r="O17" t="s">
        <v>30</v>
      </c>
      <c r="P17" t="s">
        <v>26</v>
      </c>
      <c r="Q17" t="s">
        <v>27</v>
      </c>
    </row>
    <row r="18" spans="1:17" x14ac:dyDescent="0.25">
      <c r="A18" t="s">
        <v>24</v>
      </c>
      <c r="B18" t="s">
        <v>24</v>
      </c>
      <c r="C18" t="s">
        <v>24</v>
      </c>
      <c r="D18" s="4">
        <v>45992</v>
      </c>
      <c r="E18" s="5">
        <v>180282.96000000005</v>
      </c>
      <c r="F18" t="s">
        <v>38</v>
      </c>
      <c r="G18" t="s">
        <v>26</v>
      </c>
      <c r="H18" t="s">
        <v>27</v>
      </c>
      <c r="J18" t="s">
        <v>24</v>
      </c>
      <c r="K18" t="s">
        <v>24</v>
      </c>
      <c r="L18" t="s">
        <v>24</v>
      </c>
      <c r="M18" s="4">
        <v>45778</v>
      </c>
      <c r="N18" s="5">
        <v>45206.700000000004</v>
      </c>
      <c r="O18" t="s">
        <v>31</v>
      </c>
      <c r="P18" t="s">
        <v>26</v>
      </c>
      <c r="Q18" t="s">
        <v>27</v>
      </c>
    </row>
    <row r="19" spans="1:17" x14ac:dyDescent="0.25">
      <c r="J19" t="s">
        <v>24</v>
      </c>
      <c r="K19" t="s">
        <v>24</v>
      </c>
      <c r="L19" t="s">
        <v>24</v>
      </c>
      <c r="M19" s="4">
        <v>45778</v>
      </c>
      <c r="N19" s="5">
        <v>8130.4080000000031</v>
      </c>
      <c r="O19" t="s">
        <v>31</v>
      </c>
      <c r="P19" t="s">
        <v>26</v>
      </c>
      <c r="Q19" t="s">
        <v>27</v>
      </c>
    </row>
    <row r="20" spans="1:17" x14ac:dyDescent="0.25">
      <c r="J20" t="s">
        <v>24</v>
      </c>
      <c r="K20" t="s">
        <v>24</v>
      </c>
      <c r="L20" t="s">
        <v>24</v>
      </c>
      <c r="M20" s="4">
        <v>45778</v>
      </c>
      <c r="N20" s="5">
        <v>16260.816000000006</v>
      </c>
      <c r="O20" t="s">
        <v>31</v>
      </c>
      <c r="P20" t="s">
        <v>26</v>
      </c>
      <c r="Q20" t="s">
        <v>27</v>
      </c>
    </row>
    <row r="21" spans="1:17" x14ac:dyDescent="0.25">
      <c r="J21" t="s">
        <v>24</v>
      </c>
      <c r="K21" t="s">
        <v>24</v>
      </c>
      <c r="L21" t="s">
        <v>24</v>
      </c>
      <c r="M21" s="4">
        <v>45778</v>
      </c>
      <c r="N21" s="5">
        <v>56912.856000000022</v>
      </c>
      <c r="O21" t="s">
        <v>31</v>
      </c>
      <c r="P21" t="s">
        <v>26</v>
      </c>
      <c r="Q21" t="s">
        <v>27</v>
      </c>
    </row>
    <row r="22" spans="1:17" x14ac:dyDescent="0.25">
      <c r="J22" t="s">
        <v>24</v>
      </c>
      <c r="K22" t="s">
        <v>24</v>
      </c>
      <c r="L22" t="s">
        <v>24</v>
      </c>
      <c r="M22" s="4">
        <v>45809</v>
      </c>
      <c r="N22" s="5">
        <v>7776.912000000003</v>
      </c>
      <c r="O22" t="s">
        <v>32</v>
      </c>
      <c r="P22" t="s">
        <v>26</v>
      </c>
      <c r="Q22" t="s">
        <v>27</v>
      </c>
    </row>
    <row r="23" spans="1:17" x14ac:dyDescent="0.25">
      <c r="J23" t="s">
        <v>24</v>
      </c>
      <c r="K23" t="s">
        <v>24</v>
      </c>
      <c r="L23" t="s">
        <v>24</v>
      </c>
      <c r="M23" s="4">
        <v>45809</v>
      </c>
      <c r="N23" s="5">
        <v>15553.824000000006</v>
      </c>
      <c r="O23" t="s">
        <v>32</v>
      </c>
      <c r="P23" t="s">
        <v>26</v>
      </c>
      <c r="Q23" t="s">
        <v>27</v>
      </c>
    </row>
    <row r="24" spans="1:17" x14ac:dyDescent="0.25">
      <c r="J24" t="s">
        <v>24</v>
      </c>
      <c r="K24" t="s">
        <v>24</v>
      </c>
      <c r="L24" t="s">
        <v>24</v>
      </c>
      <c r="M24" s="4">
        <v>45839</v>
      </c>
      <c r="N24" s="5">
        <v>54438.384000000013</v>
      </c>
      <c r="O24" t="s">
        <v>33</v>
      </c>
      <c r="P24" t="s">
        <v>26</v>
      </c>
      <c r="Q24" t="s">
        <v>27</v>
      </c>
    </row>
    <row r="25" spans="1:17" x14ac:dyDescent="0.25">
      <c r="J25" t="s">
        <v>24</v>
      </c>
      <c r="K25" t="s">
        <v>24</v>
      </c>
      <c r="L25" t="s">
        <v>24</v>
      </c>
      <c r="M25" s="4">
        <v>45839</v>
      </c>
      <c r="N25" s="5">
        <v>14139.840000000004</v>
      </c>
      <c r="O25" t="s">
        <v>33</v>
      </c>
      <c r="P25" t="s">
        <v>26</v>
      </c>
      <c r="Q25" t="s">
        <v>27</v>
      </c>
    </row>
    <row r="26" spans="1:17" x14ac:dyDescent="0.25">
      <c r="J26" t="s">
        <v>24</v>
      </c>
      <c r="K26" t="s">
        <v>24</v>
      </c>
      <c r="L26" t="s">
        <v>24</v>
      </c>
      <c r="M26" s="4">
        <v>45839</v>
      </c>
      <c r="N26" s="5">
        <v>28279.680000000008</v>
      </c>
      <c r="O26" t="s">
        <v>33</v>
      </c>
      <c r="P26" t="s">
        <v>26</v>
      </c>
      <c r="Q26" t="s">
        <v>27</v>
      </c>
    </row>
    <row r="27" spans="1:17" x14ac:dyDescent="0.25">
      <c r="J27" t="s">
        <v>24</v>
      </c>
      <c r="K27" t="s">
        <v>24</v>
      </c>
      <c r="L27" t="s">
        <v>24</v>
      </c>
      <c r="M27" s="4">
        <v>45839</v>
      </c>
      <c r="N27" s="5">
        <v>98978.880000000005</v>
      </c>
      <c r="O27" t="s">
        <v>33</v>
      </c>
      <c r="P27" t="s">
        <v>26</v>
      </c>
      <c r="Q27" t="s">
        <v>27</v>
      </c>
    </row>
    <row r="28" spans="1:17" x14ac:dyDescent="0.25">
      <c r="J28" t="s">
        <v>24</v>
      </c>
      <c r="K28" t="s">
        <v>24</v>
      </c>
      <c r="L28" t="s">
        <v>24</v>
      </c>
      <c r="M28" s="4">
        <v>45870</v>
      </c>
      <c r="N28" s="5">
        <v>12619.807200000005</v>
      </c>
      <c r="O28" t="s">
        <v>34</v>
      </c>
      <c r="P28" t="s">
        <v>26</v>
      </c>
      <c r="Q28" t="s">
        <v>27</v>
      </c>
    </row>
    <row r="29" spans="1:17" x14ac:dyDescent="0.25">
      <c r="J29" t="s">
        <v>24</v>
      </c>
      <c r="K29" t="s">
        <v>24</v>
      </c>
      <c r="L29" t="s">
        <v>24</v>
      </c>
      <c r="M29" s="4">
        <v>45870</v>
      </c>
      <c r="N29" s="5">
        <v>25239.614400000009</v>
      </c>
      <c r="O29" t="s">
        <v>34</v>
      </c>
      <c r="P29" t="s">
        <v>26</v>
      </c>
      <c r="Q29" t="s">
        <v>27</v>
      </c>
    </row>
    <row r="30" spans="1:17" x14ac:dyDescent="0.25">
      <c r="J30" t="s">
        <v>24</v>
      </c>
      <c r="K30" t="s">
        <v>24</v>
      </c>
      <c r="L30" t="s">
        <v>24</v>
      </c>
      <c r="M30" s="4">
        <v>45870</v>
      </c>
      <c r="N30" s="5">
        <v>88338.650400000028</v>
      </c>
      <c r="O30" t="s">
        <v>34</v>
      </c>
      <c r="P30" t="s">
        <v>26</v>
      </c>
      <c r="Q30" t="s">
        <v>27</v>
      </c>
    </row>
    <row r="31" spans="1:17" x14ac:dyDescent="0.25">
      <c r="J31" t="s">
        <v>24</v>
      </c>
      <c r="K31" t="s">
        <v>24</v>
      </c>
      <c r="L31" t="s">
        <v>24</v>
      </c>
      <c r="M31" s="4">
        <v>45901</v>
      </c>
      <c r="N31" s="5">
        <v>11898.675360000005</v>
      </c>
      <c r="O31" t="s">
        <v>35</v>
      </c>
      <c r="P31" t="s">
        <v>26</v>
      </c>
      <c r="Q31" t="s">
        <v>27</v>
      </c>
    </row>
    <row r="32" spans="1:17" x14ac:dyDescent="0.25">
      <c r="J32" t="s">
        <v>24</v>
      </c>
      <c r="K32" t="s">
        <v>24</v>
      </c>
      <c r="L32" t="s">
        <v>24</v>
      </c>
      <c r="M32" s="4">
        <v>45901</v>
      </c>
      <c r="N32" s="5">
        <v>23797.350720000009</v>
      </c>
      <c r="O32" t="s">
        <v>35</v>
      </c>
      <c r="P32" t="s">
        <v>26</v>
      </c>
      <c r="Q32" t="s">
        <v>27</v>
      </c>
    </row>
    <row r="33" spans="10:17" x14ac:dyDescent="0.25">
      <c r="J33" t="s">
        <v>24</v>
      </c>
      <c r="K33" t="s">
        <v>24</v>
      </c>
      <c r="L33" t="s">
        <v>24</v>
      </c>
      <c r="M33" s="4">
        <v>45931</v>
      </c>
      <c r="N33" s="5">
        <v>83290.727520000029</v>
      </c>
      <c r="O33" t="s">
        <v>36</v>
      </c>
      <c r="P33" t="s">
        <v>26</v>
      </c>
      <c r="Q33" t="s">
        <v>27</v>
      </c>
    </row>
    <row r="34" spans="10:17" x14ac:dyDescent="0.25">
      <c r="J34" t="s">
        <v>24</v>
      </c>
      <c r="K34" t="s">
        <v>24</v>
      </c>
      <c r="L34" t="s">
        <v>24</v>
      </c>
      <c r="M34" s="4">
        <v>45931</v>
      </c>
      <c r="N34" s="5">
        <v>11177.543520000005</v>
      </c>
      <c r="O34" t="s">
        <v>36</v>
      </c>
      <c r="P34" t="s">
        <v>26</v>
      </c>
      <c r="Q34" t="s">
        <v>27</v>
      </c>
    </row>
    <row r="35" spans="10:17" x14ac:dyDescent="0.25">
      <c r="J35" t="s">
        <v>24</v>
      </c>
      <c r="K35" t="s">
        <v>24</v>
      </c>
      <c r="L35" t="s">
        <v>24</v>
      </c>
      <c r="M35" s="4">
        <v>45931</v>
      </c>
      <c r="N35" s="5">
        <v>22355.087040000009</v>
      </c>
      <c r="O35" t="s">
        <v>36</v>
      </c>
      <c r="P35" t="s">
        <v>26</v>
      </c>
      <c r="Q35" t="s">
        <v>27</v>
      </c>
    </row>
    <row r="36" spans="10:17" x14ac:dyDescent="0.25">
      <c r="J36" t="s">
        <v>24</v>
      </c>
      <c r="K36" t="s">
        <v>24</v>
      </c>
      <c r="L36" t="s">
        <v>24</v>
      </c>
      <c r="M36" s="4">
        <v>45931</v>
      </c>
      <c r="N36" s="5">
        <v>78242.804640000017</v>
      </c>
      <c r="O36" t="s">
        <v>36</v>
      </c>
      <c r="P36" t="s">
        <v>26</v>
      </c>
      <c r="Q36" t="s">
        <v>27</v>
      </c>
    </row>
    <row r="37" spans="10:17" x14ac:dyDescent="0.25">
      <c r="J37" t="s">
        <v>24</v>
      </c>
      <c r="K37" t="s">
        <v>24</v>
      </c>
      <c r="L37" t="s">
        <v>24</v>
      </c>
      <c r="M37" s="4">
        <v>45962</v>
      </c>
      <c r="N37" s="5">
        <v>13701.504960000004</v>
      </c>
      <c r="O37" t="s">
        <v>37</v>
      </c>
      <c r="P37" t="s">
        <v>26</v>
      </c>
      <c r="Q37" t="s">
        <v>27</v>
      </c>
    </row>
    <row r="38" spans="10:17" x14ac:dyDescent="0.25">
      <c r="J38" t="s">
        <v>24</v>
      </c>
      <c r="K38" t="s">
        <v>24</v>
      </c>
      <c r="L38" t="s">
        <v>24</v>
      </c>
      <c r="M38" s="4">
        <v>45962</v>
      </c>
      <c r="N38" s="5">
        <v>27403.009920000008</v>
      </c>
      <c r="O38" t="s">
        <v>37</v>
      </c>
      <c r="P38" t="s">
        <v>26</v>
      </c>
      <c r="Q38" t="s">
        <v>27</v>
      </c>
    </row>
    <row r="39" spans="10:17" x14ac:dyDescent="0.25">
      <c r="J39" t="s">
        <v>24</v>
      </c>
      <c r="K39" t="s">
        <v>24</v>
      </c>
      <c r="L39" t="s">
        <v>24</v>
      </c>
      <c r="M39" s="4">
        <v>45992</v>
      </c>
      <c r="N39" s="5">
        <v>95910.534720000011</v>
      </c>
      <c r="O39" t="s">
        <v>38</v>
      </c>
      <c r="P39" t="s">
        <v>26</v>
      </c>
      <c r="Q39" t="s">
        <v>27</v>
      </c>
    </row>
    <row r="40" spans="10:17" x14ac:dyDescent="0.25">
      <c r="J40" t="s">
        <v>24</v>
      </c>
      <c r="K40" t="s">
        <v>24</v>
      </c>
      <c r="L40" t="s">
        <v>24</v>
      </c>
      <c r="M40" s="4">
        <v>45992</v>
      </c>
      <c r="N40" s="5">
        <v>18028.296000000006</v>
      </c>
      <c r="O40" t="s">
        <v>38</v>
      </c>
      <c r="P40" t="s">
        <v>26</v>
      </c>
      <c r="Q40" t="s">
        <v>27</v>
      </c>
    </row>
    <row r="41" spans="10:17" x14ac:dyDescent="0.25">
      <c r="J41" t="s">
        <v>24</v>
      </c>
      <c r="K41" t="s">
        <v>24</v>
      </c>
      <c r="L41" t="s">
        <v>24</v>
      </c>
      <c r="M41" s="4">
        <v>45992</v>
      </c>
      <c r="N41" s="5">
        <v>36056.592000000011</v>
      </c>
      <c r="O41" t="s">
        <v>38</v>
      </c>
      <c r="P41" t="s">
        <v>26</v>
      </c>
      <c r="Q41" t="s">
        <v>27</v>
      </c>
    </row>
    <row r="42" spans="10:17" x14ac:dyDescent="0.25">
      <c r="J42" t="s">
        <v>24</v>
      </c>
      <c r="K42" t="s">
        <v>24</v>
      </c>
      <c r="L42" t="s">
        <v>24</v>
      </c>
      <c r="M42" s="4">
        <v>45992</v>
      </c>
      <c r="N42" s="5">
        <v>126198.07200000003</v>
      </c>
      <c r="O42" t="s">
        <v>38</v>
      </c>
      <c r="P42" t="s">
        <v>26</v>
      </c>
      <c r="Q42" t="s">
        <v>27</v>
      </c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5C1AC4-E2D4-4B8F-8EB3-68B9B96D08D5}">
  <sheetPr codeName="Planilha4"/>
  <dimension ref="A1:D13"/>
  <sheetViews>
    <sheetView showGridLines="0" workbookViewId="0">
      <selection activeCell="D8" sqref="D8"/>
    </sheetView>
  </sheetViews>
  <sheetFormatPr defaultRowHeight="15" x14ac:dyDescent="0.25"/>
  <cols>
    <col min="1" max="2" width="12.85546875" bestFit="1" customWidth="1"/>
    <col min="3" max="3" width="10.42578125" bestFit="1" customWidth="1"/>
    <col min="4" max="4" width="15.42578125" bestFit="1" customWidth="1"/>
  </cols>
  <sheetData>
    <row r="1" spans="1:4" x14ac:dyDescent="0.25">
      <c r="A1" t="s">
        <v>41</v>
      </c>
      <c r="B1" t="s">
        <v>42</v>
      </c>
      <c r="C1" t="s">
        <v>43</v>
      </c>
      <c r="D1" t="s">
        <v>44</v>
      </c>
    </row>
    <row r="2" spans="1:4" x14ac:dyDescent="0.25">
      <c r="A2" t="s">
        <v>24</v>
      </c>
      <c r="B2">
        <v>1</v>
      </c>
      <c r="C2" s="4">
        <v>45658</v>
      </c>
      <c r="D2">
        <v>75000</v>
      </c>
    </row>
    <row r="3" spans="1:4" x14ac:dyDescent="0.25">
      <c r="A3" t="s">
        <v>24</v>
      </c>
      <c r="B3">
        <v>1</v>
      </c>
      <c r="C3" s="4">
        <v>45689</v>
      </c>
      <c r="D3">
        <v>54000</v>
      </c>
    </row>
    <row r="4" spans="1:4" x14ac:dyDescent="0.25">
      <c r="A4" t="s">
        <v>24</v>
      </c>
      <c r="B4">
        <v>1</v>
      </c>
      <c r="C4" s="4">
        <v>45717</v>
      </c>
      <c r="D4">
        <v>81000</v>
      </c>
    </row>
    <row r="5" spans="1:4" x14ac:dyDescent="0.25">
      <c r="A5" t="s">
        <v>24</v>
      </c>
      <c r="B5">
        <v>1</v>
      </c>
      <c r="C5" s="4">
        <v>45748</v>
      </c>
      <c r="D5">
        <v>57000</v>
      </c>
    </row>
    <row r="6" spans="1:4" x14ac:dyDescent="0.25">
      <c r="A6" t="s">
        <v>24</v>
      </c>
      <c r="B6">
        <v>1</v>
      </c>
      <c r="C6" s="4">
        <v>45778</v>
      </c>
      <c r="D6">
        <v>69000</v>
      </c>
    </row>
    <row r="7" spans="1:4" x14ac:dyDescent="0.25">
      <c r="A7" t="s">
        <v>24</v>
      </c>
      <c r="B7">
        <v>1</v>
      </c>
      <c r="C7" s="4">
        <v>45809</v>
      </c>
      <c r="D7">
        <v>66000</v>
      </c>
    </row>
    <row r="8" spans="1:4" x14ac:dyDescent="0.25">
      <c r="A8" t="s">
        <v>24</v>
      </c>
      <c r="B8">
        <v>1</v>
      </c>
      <c r="C8" s="4">
        <v>45839</v>
      </c>
      <c r="D8">
        <v>120000</v>
      </c>
    </row>
    <row r="9" spans="1:4" x14ac:dyDescent="0.25">
      <c r="A9" t="s">
        <v>24</v>
      </c>
      <c r="B9">
        <v>1</v>
      </c>
      <c r="C9" s="4">
        <v>45870</v>
      </c>
      <c r="D9">
        <v>105000</v>
      </c>
    </row>
    <row r="10" spans="1:4" x14ac:dyDescent="0.25">
      <c r="A10" t="s">
        <v>24</v>
      </c>
      <c r="B10">
        <v>1</v>
      </c>
      <c r="C10" s="4">
        <v>45901</v>
      </c>
      <c r="D10">
        <v>99000</v>
      </c>
    </row>
    <row r="11" spans="1:4" x14ac:dyDescent="0.25">
      <c r="A11" t="s">
        <v>24</v>
      </c>
      <c r="B11">
        <v>1</v>
      </c>
      <c r="C11" s="4">
        <v>45931</v>
      </c>
      <c r="D11">
        <v>93000</v>
      </c>
    </row>
    <row r="12" spans="1:4" x14ac:dyDescent="0.25">
      <c r="A12" t="s">
        <v>24</v>
      </c>
      <c r="B12">
        <v>1</v>
      </c>
      <c r="C12" s="4">
        <v>45962</v>
      </c>
      <c r="D12">
        <v>114000</v>
      </c>
    </row>
    <row r="13" spans="1:4" x14ac:dyDescent="0.25">
      <c r="A13" t="s">
        <v>24</v>
      </c>
      <c r="B13">
        <v>1</v>
      </c>
      <c r="C13" s="4">
        <v>45992</v>
      </c>
      <c r="D13">
        <v>150000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9F99E-7B77-4E49-90AC-0A8547CD8912}">
  <sheetPr codeName="Planilha5"/>
  <dimension ref="A1:D37"/>
  <sheetViews>
    <sheetView showGridLines="0" workbookViewId="0">
      <selection activeCell="D6" sqref="D6"/>
    </sheetView>
  </sheetViews>
  <sheetFormatPr defaultRowHeight="15" x14ac:dyDescent="0.25"/>
  <cols>
    <col min="1" max="1" width="12.85546875" bestFit="1" customWidth="1"/>
    <col min="2" max="2" width="14.28515625" bestFit="1" customWidth="1"/>
    <col min="3" max="3" width="13.42578125" bestFit="1" customWidth="1"/>
    <col min="4" max="4" width="16.5703125" bestFit="1" customWidth="1"/>
  </cols>
  <sheetData>
    <row r="1" spans="1:4" x14ac:dyDescent="0.25">
      <c r="A1" t="s">
        <v>41</v>
      </c>
      <c r="B1" t="s">
        <v>45</v>
      </c>
      <c r="C1" t="s">
        <v>46</v>
      </c>
      <c r="D1" t="s">
        <v>47</v>
      </c>
    </row>
    <row r="2" spans="1:4" x14ac:dyDescent="0.25">
      <c r="A2" t="s">
        <v>24</v>
      </c>
      <c r="B2" s="4">
        <v>45658</v>
      </c>
      <c r="C2">
        <v>1</v>
      </c>
      <c r="D2" s="5">
        <v>8250</v>
      </c>
    </row>
    <row r="3" spans="1:4" x14ac:dyDescent="0.25">
      <c r="A3" t="s">
        <v>24</v>
      </c>
      <c r="B3" s="4">
        <v>45689</v>
      </c>
      <c r="C3">
        <v>1</v>
      </c>
      <c r="D3" s="5">
        <v>5940.0000000000009</v>
      </c>
    </row>
    <row r="4" spans="1:4" x14ac:dyDescent="0.25">
      <c r="A4" t="s">
        <v>24</v>
      </c>
      <c r="B4" s="4">
        <v>45659</v>
      </c>
      <c r="C4">
        <v>2</v>
      </c>
      <c r="D4" s="5">
        <v>16500</v>
      </c>
    </row>
    <row r="5" spans="1:4" x14ac:dyDescent="0.25">
      <c r="A5" t="s">
        <v>24</v>
      </c>
      <c r="B5" s="4">
        <v>45688</v>
      </c>
      <c r="C5">
        <v>3</v>
      </c>
      <c r="D5" s="5">
        <v>57749.999999999993</v>
      </c>
    </row>
    <row r="6" spans="1:4" x14ac:dyDescent="0.25">
      <c r="A6" t="s">
        <v>24</v>
      </c>
      <c r="B6" s="4">
        <v>45690</v>
      </c>
      <c r="C6">
        <v>2</v>
      </c>
      <c r="D6" s="5">
        <v>11880.000000000002</v>
      </c>
    </row>
    <row r="7" spans="1:4" x14ac:dyDescent="0.25">
      <c r="A7" t="s">
        <v>24</v>
      </c>
      <c r="B7" s="4">
        <v>45719</v>
      </c>
      <c r="C7">
        <v>3</v>
      </c>
      <c r="D7" s="5">
        <v>41580</v>
      </c>
    </row>
    <row r="8" spans="1:4" x14ac:dyDescent="0.25">
      <c r="A8" t="s">
        <v>24</v>
      </c>
      <c r="B8" s="4">
        <v>45717</v>
      </c>
      <c r="C8">
        <v>1</v>
      </c>
      <c r="D8" s="5">
        <v>9177.3000000000011</v>
      </c>
    </row>
    <row r="9" spans="1:4" x14ac:dyDescent="0.25">
      <c r="A9" t="s">
        <v>24</v>
      </c>
      <c r="B9" s="4">
        <v>45718</v>
      </c>
      <c r="C9">
        <v>2</v>
      </c>
      <c r="D9" s="5">
        <v>18354.600000000002</v>
      </c>
    </row>
    <row r="10" spans="1:4" x14ac:dyDescent="0.25">
      <c r="A10" t="s">
        <v>24</v>
      </c>
      <c r="B10" s="4">
        <v>45747</v>
      </c>
      <c r="C10">
        <v>3</v>
      </c>
      <c r="D10" s="5">
        <v>64241.100000000006</v>
      </c>
    </row>
    <row r="11" spans="1:4" x14ac:dyDescent="0.25">
      <c r="A11" t="s">
        <v>24</v>
      </c>
      <c r="B11" s="4">
        <v>45748</v>
      </c>
      <c r="C11">
        <v>1</v>
      </c>
      <c r="D11" s="5">
        <v>6458.1000000000013</v>
      </c>
    </row>
    <row r="12" spans="1:4" x14ac:dyDescent="0.25">
      <c r="A12" t="s">
        <v>24</v>
      </c>
      <c r="B12" s="4">
        <v>45749</v>
      </c>
      <c r="C12">
        <v>2</v>
      </c>
      <c r="D12" s="5">
        <v>12916.200000000003</v>
      </c>
    </row>
    <row r="13" spans="1:4" x14ac:dyDescent="0.25">
      <c r="A13" t="s">
        <v>24</v>
      </c>
      <c r="B13" s="4">
        <v>45778</v>
      </c>
      <c r="C13">
        <v>3</v>
      </c>
      <c r="D13" s="5">
        <v>45206.700000000004</v>
      </c>
    </row>
    <row r="14" spans="1:4" x14ac:dyDescent="0.25">
      <c r="A14" t="s">
        <v>24</v>
      </c>
      <c r="B14" s="4">
        <v>45778</v>
      </c>
      <c r="C14">
        <v>1</v>
      </c>
      <c r="D14" s="5">
        <v>8130.4080000000031</v>
      </c>
    </row>
    <row r="15" spans="1:4" x14ac:dyDescent="0.25">
      <c r="A15" t="s">
        <v>24</v>
      </c>
      <c r="B15" s="4">
        <v>45779</v>
      </c>
      <c r="C15">
        <v>2</v>
      </c>
      <c r="D15" s="5">
        <v>16260.816000000006</v>
      </c>
    </row>
    <row r="16" spans="1:4" x14ac:dyDescent="0.25">
      <c r="A16" t="s">
        <v>24</v>
      </c>
      <c r="B16" s="4">
        <v>45808</v>
      </c>
      <c r="C16">
        <v>3</v>
      </c>
      <c r="D16" s="5">
        <v>56912.856000000022</v>
      </c>
    </row>
    <row r="17" spans="1:4" x14ac:dyDescent="0.25">
      <c r="A17" t="s">
        <v>24</v>
      </c>
      <c r="B17" s="4">
        <v>45809</v>
      </c>
      <c r="C17">
        <v>1</v>
      </c>
      <c r="D17" s="5">
        <v>7776.912000000003</v>
      </c>
    </row>
    <row r="18" spans="1:4" x14ac:dyDescent="0.25">
      <c r="A18" t="s">
        <v>24</v>
      </c>
      <c r="B18" s="4">
        <v>45810</v>
      </c>
      <c r="C18">
        <v>2</v>
      </c>
      <c r="D18" s="5">
        <v>15553.824000000006</v>
      </c>
    </row>
    <row r="19" spans="1:4" x14ac:dyDescent="0.25">
      <c r="A19" t="s">
        <v>24</v>
      </c>
      <c r="B19" s="4">
        <v>45839</v>
      </c>
      <c r="C19">
        <v>3</v>
      </c>
      <c r="D19" s="5">
        <v>54438.384000000013</v>
      </c>
    </row>
    <row r="20" spans="1:4" x14ac:dyDescent="0.25">
      <c r="A20" t="s">
        <v>24</v>
      </c>
      <c r="B20" s="4">
        <v>45839</v>
      </c>
      <c r="C20">
        <v>1</v>
      </c>
      <c r="D20" s="5">
        <v>14139.840000000004</v>
      </c>
    </row>
    <row r="21" spans="1:4" x14ac:dyDescent="0.25">
      <c r="A21" t="s">
        <v>24</v>
      </c>
      <c r="B21" s="4">
        <v>45840</v>
      </c>
      <c r="C21">
        <v>2</v>
      </c>
      <c r="D21" s="5">
        <v>28279.680000000008</v>
      </c>
    </row>
    <row r="22" spans="1:4" x14ac:dyDescent="0.25">
      <c r="A22" t="s">
        <v>24</v>
      </c>
      <c r="B22" s="4">
        <v>45869</v>
      </c>
      <c r="C22">
        <v>3</v>
      </c>
      <c r="D22" s="5">
        <v>98978.880000000005</v>
      </c>
    </row>
    <row r="23" spans="1:4" x14ac:dyDescent="0.25">
      <c r="A23" t="s">
        <v>24</v>
      </c>
      <c r="B23" s="4">
        <v>45870</v>
      </c>
      <c r="C23">
        <v>1</v>
      </c>
      <c r="D23" s="5">
        <v>12619.807200000005</v>
      </c>
    </row>
    <row r="24" spans="1:4" x14ac:dyDescent="0.25">
      <c r="A24" t="s">
        <v>24</v>
      </c>
      <c r="B24" s="4">
        <v>45871</v>
      </c>
      <c r="C24">
        <v>2</v>
      </c>
      <c r="D24" s="5">
        <v>25239.614400000009</v>
      </c>
    </row>
    <row r="25" spans="1:4" x14ac:dyDescent="0.25">
      <c r="A25" t="s">
        <v>24</v>
      </c>
      <c r="B25" s="4">
        <v>45900</v>
      </c>
      <c r="C25">
        <v>3</v>
      </c>
      <c r="D25" s="5">
        <v>88338.650400000028</v>
      </c>
    </row>
    <row r="26" spans="1:4" x14ac:dyDescent="0.25">
      <c r="A26" t="s">
        <v>24</v>
      </c>
      <c r="B26" s="4">
        <v>45901</v>
      </c>
      <c r="C26">
        <v>1</v>
      </c>
      <c r="D26" s="5">
        <v>11898.675360000005</v>
      </c>
    </row>
    <row r="27" spans="1:4" x14ac:dyDescent="0.25">
      <c r="A27" t="s">
        <v>24</v>
      </c>
      <c r="B27" s="4">
        <v>45902</v>
      </c>
      <c r="C27">
        <v>2</v>
      </c>
      <c r="D27" s="5">
        <v>23797.350720000009</v>
      </c>
    </row>
    <row r="28" spans="1:4" x14ac:dyDescent="0.25">
      <c r="A28" t="s">
        <v>24</v>
      </c>
      <c r="B28" s="4">
        <v>45931</v>
      </c>
      <c r="C28">
        <v>3</v>
      </c>
      <c r="D28" s="5">
        <v>83290.727520000029</v>
      </c>
    </row>
    <row r="29" spans="1:4" x14ac:dyDescent="0.25">
      <c r="A29" t="s">
        <v>24</v>
      </c>
      <c r="B29" s="4">
        <v>45931</v>
      </c>
      <c r="C29">
        <v>1</v>
      </c>
      <c r="D29" s="5">
        <v>11177.543520000005</v>
      </c>
    </row>
    <row r="30" spans="1:4" x14ac:dyDescent="0.25">
      <c r="A30" t="s">
        <v>24</v>
      </c>
      <c r="B30" s="4">
        <v>45932</v>
      </c>
      <c r="C30">
        <v>2</v>
      </c>
      <c r="D30" s="5">
        <v>22355.087040000009</v>
      </c>
    </row>
    <row r="31" spans="1:4" x14ac:dyDescent="0.25">
      <c r="A31" t="s">
        <v>24</v>
      </c>
      <c r="B31" s="4">
        <v>45961</v>
      </c>
      <c r="C31">
        <v>3</v>
      </c>
      <c r="D31" s="5">
        <v>78242.804640000017</v>
      </c>
    </row>
    <row r="32" spans="1:4" x14ac:dyDescent="0.25">
      <c r="A32" t="s">
        <v>24</v>
      </c>
      <c r="B32" s="4">
        <v>45962</v>
      </c>
      <c r="C32">
        <v>1</v>
      </c>
      <c r="D32" s="5">
        <v>13701.504960000004</v>
      </c>
    </row>
    <row r="33" spans="1:4" x14ac:dyDescent="0.25">
      <c r="A33" t="s">
        <v>24</v>
      </c>
      <c r="B33" s="4">
        <v>45963</v>
      </c>
      <c r="C33">
        <v>2</v>
      </c>
      <c r="D33" s="5">
        <v>27403.009920000008</v>
      </c>
    </row>
    <row r="34" spans="1:4" x14ac:dyDescent="0.25">
      <c r="A34" t="s">
        <v>24</v>
      </c>
      <c r="B34" s="4">
        <v>45992</v>
      </c>
      <c r="C34">
        <v>3</v>
      </c>
      <c r="D34" s="5">
        <v>95910.534720000011</v>
      </c>
    </row>
    <row r="35" spans="1:4" x14ac:dyDescent="0.25">
      <c r="A35" t="s">
        <v>24</v>
      </c>
      <c r="B35" s="4">
        <v>45992</v>
      </c>
      <c r="C35">
        <v>1</v>
      </c>
      <c r="D35" s="5">
        <v>18028.296000000006</v>
      </c>
    </row>
    <row r="36" spans="1:4" x14ac:dyDescent="0.25">
      <c r="A36" t="s">
        <v>24</v>
      </c>
      <c r="B36" s="4">
        <v>45993</v>
      </c>
      <c r="C36">
        <v>2</v>
      </c>
      <c r="D36" s="5">
        <v>36056.592000000011</v>
      </c>
    </row>
    <row r="37" spans="1:4" x14ac:dyDescent="0.25">
      <c r="A37" t="s">
        <v>24</v>
      </c>
      <c r="B37" s="4">
        <v>46022</v>
      </c>
      <c r="C37">
        <v>3</v>
      </c>
      <c r="D37" s="5">
        <v>126198.07200000003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10BCB-BF6E-43DD-B6A4-F5137745FA1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Parametros</vt:lpstr>
      <vt:lpstr>Erros</vt:lpstr>
      <vt:lpstr>Fim</vt:lpstr>
      <vt:lpstr>Qtd</vt:lpstr>
      <vt:lpstr>Recebe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Jefferson Fantasia</dc:creator>
  <cp:keywords/>
  <dc:description/>
  <cp:lastModifiedBy>Jefferson Fantasia</cp:lastModifiedBy>
  <cp:revision/>
  <dcterms:created xsi:type="dcterms:W3CDTF">2024-10-16T16:46:11Z</dcterms:created>
  <dcterms:modified xsi:type="dcterms:W3CDTF">2024-10-18T19:52:19Z</dcterms:modified>
  <cp:category/>
  <cp:contentStatus/>
</cp:coreProperties>
</file>
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250_DespesasVariaveis/"/>
    </mc:Choice>
  </mc:AlternateContent>
  <xr:revisionPtr revIDLastSave="153" documentId="8_{3FC7CE8A-A8E3-48C6-BAED-60166CE70BF3}" xr6:coauthVersionLast="47" xr6:coauthVersionMax="47" xr10:uidLastSave="{C085635A-C41D-4B6C-94E0-3CCEBFBD4087}"/>
  <bookViews>
    <workbookView xWindow="38280" yWindow="2655" windowWidth="29040" windowHeight="15720" activeTab="2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Fim!$A$6:$H$54</definedName>
    <definedName name="DadosExternos_2" localSheetId="2" hidden="1">Fim!$J$6:$Q$54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01B9F-DE2F-421B-94AA-5359CF86407B}" keepAlive="1" name="Consulta - DespesasVariaveis" description="Conexão com a consulta 'DespesasVariaveis' na pasta de trabalho." type="5" refreshedVersion="0" saveData="1">
    <dbPr connection="Provider=Microsoft.Mashup.OleDb.1;Data Source=$Workbook$;Location=DespesasVariaveis;Extended Properties=&quot;&quot;" command="SELECT * FROM [DespesasVariaveis]"/>
  </connection>
  <connection id="2" xr16:uid="{44209152-E945-4B76-A958-5E419C05419E}" keepAlive="1" name="Consulta - DRE" description="Conexão com a consulta 'DRE' na pasta de trabalho." type="5" refreshedVersion="8" background="1" saveData="1">
    <dbPr connection="Provider=Microsoft.Mashup.OleDb.1;Data Source=$Workbook$;Location=DRE;Extended Properties=&quot;&quot;" command="SELECT * FROM [DRE]"/>
  </connection>
  <connection id="3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4" xr16:uid="{895B0F0C-27E4-4C8D-93D2-AFDA9DC3DE38}" keepAlive="1" name="Consulta - FaturamentoCartao" description="Conexão com a consulta 'FaturamentoCartao' na pasta de trabalho." type="5" refreshedVersion="0" saveData="1">
    <dbPr connection="Provider=Microsoft.Mashup.OleDb.1;Data Source=$Workbook$;Location=FaturamentoCartao;Extended Properties=&quot;&quot;" command="SELECT * FROM [FaturamentoCartao]"/>
  </connection>
  <connection id="5" xr16:uid="{2FFDBC57-7B7A-4F03-A6DE-78B9AAF370CB}" keepAlive="1" name="Consulta - FaturamentoTotal" description="Conexão com a consulta 'FaturamentoTotal' na pasta de trabalho." type="5" refreshedVersion="0" saveData="1">
    <dbPr connection="Provider=Microsoft.Mashup.OleDb.1;Data Source=$Workbook$;Location=FaturamentoTotal;Extended Properties=&quot;&quot;" command="SELECT * FROM [FaturamentoTotal]"/>
  </connection>
  <connection id="6" xr16:uid="{1491C8E9-4FE0-48A1-AB40-A0DFE1B904E7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7" xr16:uid="{8F152407-6568-4EE9-9C0C-3FAD4BAF9CA4}" keepAlive="1" name="Consulta - fxExpandeTodasColunas" description="Conexão com a consulta 'fxExpandeTodasColunas' na pasta de trabalho." type="5" refreshedVersion="0" saveData="1">
    <dbPr connection="Provider=Microsoft.Mashup.OleDb.1;Data Source=$Workbook$;Location=fxExpandeTodasColunas;Extended Properties=&quot;&quot;" command="SELECT * FROM [fxExpandeTodasColunas]"/>
  </connection>
  <connection id="8" xr16:uid="{4B7EEDDF-F75A-4CF0-829F-9B960E73020F}" keepAlive="1" name="Consulta - fxTabelaFim" description="Conexão com a consulta 'fxTabelaFim' na pasta de trabalho." type="5" refreshedVersion="0" saveData="1">
    <dbPr connection="Provider=Microsoft.Mashup.OleDb.1;Data Source=$Workbook$;Location=fxTabelaFim;Extended Properties=&quot;&quot;" command="SELECT * FROM [fxTabelaFim]"/>
  </connection>
  <connection id="9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0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1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2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3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4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5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6" xr16:uid="{5E801974-F26C-4C45-A0BA-99FEB5AF9CEE}" keepAlive="1" name="Consulta - PlanoContas" description="Conexão com a consulta 'PlanoContas' na pasta de trabalho." type="5" refreshedVersion="0" saveData="1">
    <dbPr connection="Provider=Microsoft.Mashup.OleDb.1;Data Source=$Workbook$;Location=PlanoContas;Extended Properties=&quot;&quot;" command="SELECT * FROM [PlanoContas]"/>
  </connection>
  <connection id="17" xr16:uid="{C09961D4-A222-4AB3-9B40-8929BBEE328C}" keepAlive="1" name="Consulta - TaxasCartao" description="Conexão com a consulta 'TaxasCartao' na pasta de trabalho." type="5" refreshedVersion="0" saveData="1">
    <dbPr connection="Provider=Microsoft.Mashup.OleDb.1;Data Source=$Workbook$;Location=TaxasCartao;Extended Properties=&quot;&quot;" command="SELECT * FROM [TaxasCartao]"/>
  </connection>
  <connection id="18" xr16:uid="{FC3BC306-CD26-4259-9231-0373B0AC3792}" keepAlive="1" name="Consulta - ValorDespesas" description="Conexão com a consulta 'ValorDespesas' na pasta de trabalho." type="5" refreshedVersion="0" saveData="1">
    <dbPr connection="Provider=Microsoft.Mashup.OleDb.1;Data Source=$Workbook$;Location=ValorDespesas;Extended Properties=&quot;&quot;" command="SELECT * FROM [ValorDespesas]"/>
  </connection>
  <connection id="19" xr16:uid="{6227DF9A-03D7-450C-AE89-7C9CED9BF886}" keepAlive="1" name="Consulta - VerificaConta" description="Conexão com a consulta 'VerificaConta' na pasta de trabalho." type="5" refreshedVersion="0" saveData="1">
    <dbPr connection="Provider=Microsoft.Mashup.OleDb.1;Data Source=$Workbook$;Location=VerificaConta;Extended Properties=&quot;&quot;" command="SELECT * FROM [VerificaConta]"/>
  </connection>
</connections>
</file>

<file path=xl/sharedStrings.xml><?xml version="1.0" encoding="utf-8"?>
<sst xmlns="http://schemas.openxmlformats.org/spreadsheetml/2006/main" count="610" uniqueCount="76">
  <si>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</si>
  <si>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</si>
  <si>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</si>
  <si>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</si>
  <si>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</si>
  <si>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</si>
  <si>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</si>
  <si>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</si>
  <si>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</si>
  <si>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</si>
  <si>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</si>
  <si>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</si>
  <si>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</si>
  <si>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</si>
  <si>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</si>
  <si>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</si>
  <si>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https://jcbrothers-my.sharepoint.com/personal/jefferson_lojasjckids_com_br/Documents/Cursos/OrcamentoPadaria/250_DespesasVariaveis</t>
  </si>
  <si>
    <t>ZZZ_Trampolim.xlsm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</si>
  <si>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</si>
  <si>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</si>
  <si>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</si>
  <si>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</si>
  <si>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</si>
  <si>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</si>
  <si>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</si>
  <si>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</si>
  <si>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</si>
  <si>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TAXA CARTAO DEBITO - REF RECEBIMENTO 01/2025</t>
  </si>
  <si>
    <t>3203</t>
  </si>
  <si>
    <t>99</t>
  </si>
  <si>
    <t>TAXA CARTAO DEBITO - REF RECEBIMENTO 02/2025</t>
  </si>
  <si>
    <t>TAXA CARTAO DEBITO - REF RECEBIMENTO 03/2025</t>
  </si>
  <si>
    <t>TAXA CARTAO CREDITO - REF RECEBIMENTO 01/2025</t>
  </si>
  <si>
    <t>TAXA CARTAO CREDITO - REF RECEBIMENTO 03/2025</t>
  </si>
  <si>
    <t>TAXA CARTAO DEBITO - REF RECEBIMENTO 04/2025</t>
  </si>
  <si>
    <t>TAXA CARTAO CREDITO - REF RECEBIMENTO 05/2025</t>
  </si>
  <si>
    <t>TAXA CARTAO DEBITO - REF RECEBIMENTO 05/2025</t>
  </si>
  <si>
    <t>TAXA CARTAO DEBITO - REF RECEBIMENTO 06/2025</t>
  </si>
  <si>
    <t>TAXA CARTAO CREDITO - REF RECEBIMENTO 07/2025</t>
  </si>
  <si>
    <t>TAXA CARTAO DEBITO - REF RECEBIMENTO 07/2025</t>
  </si>
  <si>
    <t>TAXA CARTAO DEBITO - REF RECEBIMENTO 08/2025</t>
  </si>
  <si>
    <t>TAXA CARTAO CREDITO - REF RECEBIMENTO 08/2025</t>
  </si>
  <si>
    <t>TAXA CARTAO DEBITO - REF RECEBIMENTO 09/2025</t>
  </si>
  <si>
    <t>TAXA CARTAO CREDITO - REF RECEBIMENTO 10/2025</t>
  </si>
  <si>
    <t>TAXA CARTAO DEBITO - REF RECEBIMENTO 10/2025</t>
  </si>
  <si>
    <t>TAXA CARTAO DEBITO - REF RECEBIMENTO 11/2025</t>
  </si>
  <si>
    <t>TAXA CARTAO CREDITO - REF RECEBIMENTO 12/2025</t>
  </si>
  <si>
    <t>TAXA CARTAO DEBITO - REF RECEBIMENTO 12/2025</t>
  </si>
  <si>
    <t>PUBLICIDADE ADS</t>
  </si>
  <si>
    <t>3207</t>
  </si>
  <si>
    <t>PERDA DE MERCADORIA</t>
  </si>
  <si>
    <t>3114</t>
  </si>
  <si>
    <t>PUBLICIDADE ADS - COMP. 01/2025</t>
  </si>
  <si>
    <t>PUBLICIDADE ADS - COMP. 02/2025</t>
  </si>
  <si>
    <t>PUBLICIDADE ADS - COMP. 03/2025</t>
  </si>
  <si>
    <t>PUBLICIDADE ADS - COMP. 04/2025</t>
  </si>
  <si>
    <t>PUBLICIDADE ADS - COMP. 05/2025</t>
  </si>
  <si>
    <t>PUBLICIDADE ADS - COMP. 06/2025</t>
  </si>
  <si>
    <t>PUBLICIDADE ADS - COMP. 07/2025</t>
  </si>
  <si>
    <t>PUBLICIDADE ADS - COMP. 08/2025</t>
  </si>
  <si>
    <t>PUBLICIDADE ADS - COMP. 09/2025</t>
  </si>
  <si>
    <t>PUBLICIDADE ADS - COMP. 10/2025</t>
  </si>
  <si>
    <t>PUBLICIDADE ADS - COMP. 11/2025</t>
  </si>
  <si>
    <t>PUBLICIDADE ADS - COMP. 12/2025</t>
  </si>
  <si>
    <t>PERDA DE MERCADORIA - COMP. 01/2025</t>
  </si>
  <si>
    <t>PERDA DE MERCADORIA - COMP. 02/2025</t>
  </si>
  <si>
    <t>PERDA DE MERCADORIA - COMP. 03/2025</t>
  </si>
  <si>
    <t>PERDA DE MERCADORIA - COMP. 04/2025</t>
  </si>
  <si>
    <t>PERDA DE MERCADORIA - COMP. 05/2025</t>
  </si>
  <si>
    <t>PERDA DE MERCADORIA - COMP. 06/2025</t>
  </si>
  <si>
    <t>PERDA DE MERCADORIA - COMP. 07/2025</t>
  </si>
  <si>
    <t>PERDA DE MERCADORIA - COMP. 08/2025</t>
  </si>
  <si>
    <t>PERDA DE MERCADORIA - COMP. 09/2025</t>
  </si>
  <si>
    <t>PERDA DE MERCADORIA - COMP. 10/2025</t>
  </si>
  <si>
    <t>PERDA DE MERCADORIA - COMP. 11/2025</t>
  </si>
  <si>
    <t>PERDA DE MERCADORIA - COMP. 12/2025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</si>
</sst>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9" formatCode="dd/mm/yyyy"/>
    </dxf>
    <dxf>
      <numFmt numFmtId="4" formatCode="#,##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5</xdr:row>
          <xdr:rowOff>171450</xdr:rowOff>
        </xdr:from>
        <xdr:to>
          <xdr:col>2</xdr:col>
          <xdr:colOff>2228850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B9201E67-1742-45DE-A6D2-603E3B012EB1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6" xr16:uid="{8C31B3A6-07CF-4D46-B6E6-8E7CF33C5465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DCB655-F949-46F6-9E43-B3DDD612E36E}" name="DRE" displayName="DRE" ref="A6:H54" tableType="queryTable" totalsRowShown="0">
  <autoFilter ref="A6:H54" xr:uid="{E6DCB655-F949-46F6-9E43-B3DDD612E36E}"/>
  <tableColumns count="8">
    <tableColumn id="1" xr3:uid="{5B5D82C5-BB30-4782-9BD2-AEAF8978B27E}" uniqueName="1" name="EMPRESA" queryTableFieldId="1"/>
    <tableColumn id="2" xr3:uid="{6E10EF9D-100B-40BA-8A1E-AC333375E9EA}" uniqueName="2" name="FILIAL" queryTableFieldId="2"/>
    <tableColumn id="3" xr3:uid="{76AD1984-3B9C-41AA-9DAF-AE190F2D1B3D}" uniqueName="3" name="NEGOCIO" queryTableFieldId="3"/>
    <tableColumn id="4" xr3:uid="{42540B18-CB8E-4D5A-99CE-C4ED43B797CC}" uniqueName="4" name="DATA" queryTableFieldId="4" dataDxfId="1"/>
    <tableColumn id="5" xr3:uid="{B82589D5-2ABC-477B-99AD-6FC9C18E0A4E}" uniqueName="5" name="VALOR" queryTableFieldId="5" dataDxfId="0"/>
    <tableColumn id="6" xr3:uid="{5D45BF1A-7165-41F2-B339-7315553A265A}" uniqueName="6" name="HISTORICO" queryTableFieldId="6"/>
    <tableColumn id="7" xr3:uid="{EBDCE1B7-80DD-4BE7-82F7-D90C22096C2B}" uniqueName="7" name="CONTA" queryTableFieldId="7"/>
    <tableColumn id="8" xr3:uid="{5D1F2A1A-6FF5-475C-B4F2-9B474DE8FFAC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D24A7DC-12BC-4742-954C-7C1435257644}" name="FLCX" displayName="FLCX" ref="J6:Q54" tableType="queryTable" totalsRowShown="0">
  <autoFilter ref="J6:Q54" xr:uid="{DD24A7DC-12BC-4742-954C-7C1435257644}"/>
  <tableColumns count="8">
    <tableColumn id="1" xr3:uid="{D03A4822-EDCE-474E-B2F9-1530BB491AAD}" uniqueName="1" name="EMPRESA" queryTableFieldId="1"/>
    <tableColumn id="2" xr3:uid="{334A1A1C-C96E-47E0-8DA1-6070E27EF09F}" uniqueName="2" name="FILIAL" queryTableFieldId="2"/>
    <tableColumn id="3" xr3:uid="{5E11F2D5-8F5F-445B-957A-AA6179E2917B}" uniqueName="3" name="NEGOCIO" queryTableFieldId="3"/>
    <tableColumn id="4" xr3:uid="{38FAC07F-A55A-440E-AA3B-C7FF211D1190}" uniqueName="4" name="DATA" queryTableFieldId="4" dataDxfId="3"/>
    <tableColumn id="5" xr3:uid="{AA2F3EE9-42D7-4C38-A2D9-7291D3B6083F}" uniqueName="5" name="VALOR" queryTableFieldId="5" dataDxfId="2"/>
    <tableColumn id="6" xr3:uid="{0895DC76-9DAB-4B0E-8A1E-328ADA6C53FE}" uniqueName="6" name="HISTORICO" queryTableFieldId="6"/>
    <tableColumn id="7" xr3:uid="{F3FE4EDB-3578-4475-A67F-6A6A6D036B55}" uniqueName="7" name="CONTA" queryTableFieldId="7"/>
    <tableColumn id="8" xr3:uid="{F4533559-1D3A-4320-81ED-668B5AFA6CF0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B18" sqref="B18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17</v>
      </c>
      <c r="C3" t="s">
        <v>5</v>
      </c>
    </row>
    <row r="4" spans="1:3" x14ac:dyDescent="0.25">
      <c r="A4" t="s">
        <v>6</v>
      </c>
      <c r="B4" s="1">
        <v>45583.532430555555</v>
      </c>
      <c r="C4" t="s">
        <v>7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114300</xdr:colOff>
                    <xdr:row>5</xdr:row>
                    <xdr:rowOff>171450</xdr:rowOff>
                  </from>
                  <to>
                    <xdr:col>2</xdr:col>
                    <xdr:colOff>2228850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dimension ref="A1:C1"/>
  <sheetViews>
    <sheetView showGridLines="0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dimension ref="A1:Q54"/>
  <sheetViews>
    <sheetView showGridLines="0" tabSelected="1" workbookViewId="0">
      <selection activeCell="F3" sqref="F3"/>
    </sheetView>
  </sheetViews>
  <sheetFormatPr defaultRowHeight="15" x14ac:dyDescent="0.25"/>
  <cols>
    <col min="1" max="1" width="11.85546875" bestFit="1" customWidth="1"/>
    <col min="2" max="2" width="10.85546875" bestFit="1" customWidth="1"/>
    <col min="3" max="3" width="12.140625" bestFit="1" customWidth="1"/>
    <col min="4" max="4" width="10.5703125" bestFit="1" customWidth="1"/>
    <col min="5" max="5" width="10" bestFit="1" customWidth="1"/>
    <col min="6" max="6" width="47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10" bestFit="1" customWidth="1"/>
    <col min="15" max="15" width="47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12</v>
      </c>
      <c r="B1" s="4">
        <f>SUM(DRE[VALOR])</f>
        <v>-177072.05637264004</v>
      </c>
    </row>
    <row r="2" spans="1:17" x14ac:dyDescent="0.25">
      <c r="A2" s="2" t="s">
        <v>13</v>
      </c>
      <c r="B2" s="5">
        <f>SUM(FLCX[VALOR])</f>
        <v>-177072.05637264004</v>
      </c>
    </row>
    <row r="3" spans="1:17" x14ac:dyDescent="0.25">
      <c r="B3" s="6">
        <f>B1-B2</f>
        <v>0</v>
      </c>
    </row>
    <row r="5" spans="1:17" x14ac:dyDescent="0.25">
      <c r="A5" t="s">
        <v>14</v>
      </c>
      <c r="J5" t="s">
        <v>15</v>
      </c>
    </row>
    <row r="6" spans="1:17" x14ac:dyDescent="0.25">
      <c r="A6" t="s">
        <v>18</v>
      </c>
      <c r="B6" t="s">
        <v>19</v>
      </c>
      <c r="C6" t="s">
        <v>20</v>
      </c>
      <c r="D6" t="s">
        <v>21</v>
      </c>
      <c r="E6" t="s">
        <v>22</v>
      </c>
      <c r="F6" t="s">
        <v>23</v>
      </c>
      <c r="G6" t="s">
        <v>24</v>
      </c>
      <c r="H6" t="s">
        <v>25</v>
      </c>
      <c r="J6" t="s">
        <v>18</v>
      </c>
      <c r="K6" t="s">
        <v>19</v>
      </c>
      <c r="L6" t="s">
        <v>20</v>
      </c>
      <c r="M6" t="s">
        <v>21</v>
      </c>
      <c r="N6" t="s">
        <v>22</v>
      </c>
      <c r="O6" t="s">
        <v>23</v>
      </c>
      <c r="P6" t="s">
        <v>24</v>
      </c>
      <c r="Q6" t="s">
        <v>25</v>
      </c>
    </row>
    <row r="7" spans="1:17" x14ac:dyDescent="0.25">
      <c r="A7" t="s">
        <v>26</v>
      </c>
      <c r="B7" t="s">
        <v>26</v>
      </c>
      <c r="C7" t="s">
        <v>26</v>
      </c>
      <c r="D7" s="7">
        <v>45658</v>
      </c>
      <c r="E7" s="6">
        <v>-247.5</v>
      </c>
      <c r="F7" t="s">
        <v>27</v>
      </c>
      <c r="G7" t="s">
        <v>28</v>
      </c>
      <c r="H7" t="s">
        <v>29</v>
      </c>
      <c r="J7" t="s">
        <v>26</v>
      </c>
      <c r="K7" t="s">
        <v>26</v>
      </c>
      <c r="L7" t="s">
        <v>26</v>
      </c>
      <c r="M7" s="7">
        <v>45658</v>
      </c>
      <c r="N7" s="6">
        <v>-247.5</v>
      </c>
      <c r="O7" t="s">
        <v>27</v>
      </c>
      <c r="P7" t="s">
        <v>28</v>
      </c>
      <c r="Q7" t="s">
        <v>29</v>
      </c>
    </row>
    <row r="8" spans="1:17" x14ac:dyDescent="0.25">
      <c r="A8" t="s">
        <v>26</v>
      </c>
      <c r="B8" t="s">
        <v>26</v>
      </c>
      <c r="C8" t="s">
        <v>26</v>
      </c>
      <c r="D8" s="7">
        <v>45689</v>
      </c>
      <c r="E8" s="6">
        <v>-178.20000000000002</v>
      </c>
      <c r="F8" t="s">
        <v>30</v>
      </c>
      <c r="G8" t="s">
        <v>28</v>
      </c>
      <c r="H8" t="s">
        <v>29</v>
      </c>
      <c r="J8" t="s">
        <v>26</v>
      </c>
      <c r="K8" t="s">
        <v>26</v>
      </c>
      <c r="L8" t="s">
        <v>26</v>
      </c>
      <c r="M8" s="7">
        <v>45689</v>
      </c>
      <c r="N8" s="6">
        <v>-178.20000000000002</v>
      </c>
      <c r="O8" t="s">
        <v>30</v>
      </c>
      <c r="P8" t="s">
        <v>28</v>
      </c>
      <c r="Q8" t="s">
        <v>29</v>
      </c>
    </row>
    <row r="9" spans="1:17" x14ac:dyDescent="0.25">
      <c r="A9" t="s">
        <v>26</v>
      </c>
      <c r="B9" t="s">
        <v>26</v>
      </c>
      <c r="C9" t="s">
        <v>26</v>
      </c>
      <c r="D9" s="7">
        <v>45717</v>
      </c>
      <c r="E9" s="6">
        <v>-275.31900000000002</v>
      </c>
      <c r="F9" t="s">
        <v>31</v>
      </c>
      <c r="G9" t="s">
        <v>28</v>
      </c>
      <c r="H9" t="s">
        <v>29</v>
      </c>
      <c r="J9" t="s">
        <v>26</v>
      </c>
      <c r="K9" t="s">
        <v>26</v>
      </c>
      <c r="L9" t="s">
        <v>26</v>
      </c>
      <c r="M9" s="7">
        <v>45717</v>
      </c>
      <c r="N9" s="6">
        <v>-275.31900000000002</v>
      </c>
      <c r="O9" t="s">
        <v>31</v>
      </c>
      <c r="P9" t="s">
        <v>28</v>
      </c>
      <c r="Q9" t="s">
        <v>29</v>
      </c>
    </row>
    <row r="10" spans="1:17" x14ac:dyDescent="0.25">
      <c r="A10" t="s">
        <v>26</v>
      </c>
      <c r="B10" t="s">
        <v>26</v>
      </c>
      <c r="C10" t="s">
        <v>26</v>
      </c>
      <c r="D10" s="7">
        <v>45658</v>
      </c>
      <c r="E10" s="6">
        <v>-1328.2499999999998</v>
      </c>
      <c r="F10" t="s">
        <v>32</v>
      </c>
      <c r="G10" t="s">
        <v>28</v>
      </c>
      <c r="H10" t="s">
        <v>29</v>
      </c>
      <c r="J10" t="s">
        <v>26</v>
      </c>
      <c r="K10" t="s">
        <v>26</v>
      </c>
      <c r="L10" t="s">
        <v>26</v>
      </c>
      <c r="M10" s="7">
        <v>45658</v>
      </c>
      <c r="N10" s="6">
        <v>-1328.2499999999998</v>
      </c>
      <c r="O10" t="s">
        <v>32</v>
      </c>
      <c r="P10" t="s">
        <v>28</v>
      </c>
      <c r="Q10" t="s">
        <v>29</v>
      </c>
    </row>
    <row r="11" spans="1:17" x14ac:dyDescent="0.25">
      <c r="A11" t="s">
        <v>26</v>
      </c>
      <c r="B11" t="s">
        <v>26</v>
      </c>
      <c r="C11" t="s">
        <v>26</v>
      </c>
      <c r="D11" s="7">
        <v>45717</v>
      </c>
      <c r="E11" s="6">
        <v>-956.34</v>
      </c>
      <c r="F11" t="s">
        <v>33</v>
      </c>
      <c r="G11" t="s">
        <v>28</v>
      </c>
      <c r="H11" t="s">
        <v>29</v>
      </c>
      <c r="J11" t="s">
        <v>26</v>
      </c>
      <c r="K11" t="s">
        <v>26</v>
      </c>
      <c r="L11" t="s">
        <v>26</v>
      </c>
      <c r="M11" s="7">
        <v>45717</v>
      </c>
      <c r="N11" s="6">
        <v>-956.34</v>
      </c>
      <c r="O11" t="s">
        <v>33</v>
      </c>
      <c r="P11" t="s">
        <v>28</v>
      </c>
      <c r="Q11" t="s">
        <v>29</v>
      </c>
    </row>
    <row r="12" spans="1:17" x14ac:dyDescent="0.25">
      <c r="A12" t="s">
        <v>26</v>
      </c>
      <c r="B12" t="s">
        <v>26</v>
      </c>
      <c r="C12" t="s">
        <v>26</v>
      </c>
      <c r="D12" s="7">
        <v>45717</v>
      </c>
      <c r="E12" s="6">
        <v>-1477.5453</v>
      </c>
      <c r="F12" t="s">
        <v>33</v>
      </c>
      <c r="G12" t="s">
        <v>28</v>
      </c>
      <c r="H12" t="s">
        <v>29</v>
      </c>
      <c r="J12" t="s">
        <v>26</v>
      </c>
      <c r="K12" t="s">
        <v>26</v>
      </c>
      <c r="L12" t="s">
        <v>26</v>
      </c>
      <c r="M12" s="7">
        <v>45717</v>
      </c>
      <c r="N12" s="6">
        <v>-1477.5453</v>
      </c>
      <c r="O12" t="s">
        <v>33</v>
      </c>
      <c r="P12" t="s">
        <v>28</v>
      </c>
      <c r="Q12" t="s">
        <v>29</v>
      </c>
    </row>
    <row r="13" spans="1:17" x14ac:dyDescent="0.25">
      <c r="A13" t="s">
        <v>26</v>
      </c>
      <c r="B13" t="s">
        <v>26</v>
      </c>
      <c r="C13" t="s">
        <v>26</v>
      </c>
      <c r="D13" s="7">
        <v>45748</v>
      </c>
      <c r="E13" s="6">
        <v>-193.74300000000002</v>
      </c>
      <c r="F13" t="s">
        <v>34</v>
      </c>
      <c r="G13" t="s">
        <v>28</v>
      </c>
      <c r="H13" t="s">
        <v>29</v>
      </c>
      <c r="J13" t="s">
        <v>26</v>
      </c>
      <c r="K13" t="s">
        <v>26</v>
      </c>
      <c r="L13" t="s">
        <v>26</v>
      </c>
      <c r="M13" s="7">
        <v>45748</v>
      </c>
      <c r="N13" s="6">
        <v>-193.74300000000002</v>
      </c>
      <c r="O13" t="s">
        <v>34</v>
      </c>
      <c r="P13" t="s">
        <v>28</v>
      </c>
      <c r="Q13" t="s">
        <v>29</v>
      </c>
    </row>
    <row r="14" spans="1:17" x14ac:dyDescent="0.25">
      <c r="A14" t="s">
        <v>26</v>
      </c>
      <c r="B14" t="s">
        <v>26</v>
      </c>
      <c r="C14" t="s">
        <v>26</v>
      </c>
      <c r="D14" s="7">
        <v>45778</v>
      </c>
      <c r="E14" s="6">
        <v>-1039.7541000000001</v>
      </c>
      <c r="F14" t="s">
        <v>35</v>
      </c>
      <c r="G14" t="s">
        <v>28</v>
      </c>
      <c r="H14" t="s">
        <v>29</v>
      </c>
      <c r="J14" t="s">
        <v>26</v>
      </c>
      <c r="K14" t="s">
        <v>26</v>
      </c>
      <c r="L14" t="s">
        <v>26</v>
      </c>
      <c r="M14" s="7">
        <v>45778</v>
      </c>
      <c r="N14" s="6">
        <v>-1039.7541000000001</v>
      </c>
      <c r="O14" t="s">
        <v>35</v>
      </c>
      <c r="P14" t="s">
        <v>28</v>
      </c>
      <c r="Q14" t="s">
        <v>29</v>
      </c>
    </row>
    <row r="15" spans="1:17" x14ac:dyDescent="0.25">
      <c r="A15" t="s">
        <v>26</v>
      </c>
      <c r="B15" t="s">
        <v>26</v>
      </c>
      <c r="C15" t="s">
        <v>26</v>
      </c>
      <c r="D15" s="7">
        <v>45778</v>
      </c>
      <c r="E15" s="6">
        <v>-243.91224000000008</v>
      </c>
      <c r="F15" t="s">
        <v>36</v>
      </c>
      <c r="G15" t="s">
        <v>28</v>
      </c>
      <c r="H15" t="s">
        <v>29</v>
      </c>
      <c r="J15" t="s">
        <v>26</v>
      </c>
      <c r="K15" t="s">
        <v>26</v>
      </c>
      <c r="L15" t="s">
        <v>26</v>
      </c>
      <c r="M15" s="7">
        <v>45778</v>
      </c>
      <c r="N15" s="6">
        <v>-243.91224000000008</v>
      </c>
      <c r="O15" t="s">
        <v>36</v>
      </c>
      <c r="P15" t="s">
        <v>28</v>
      </c>
      <c r="Q15" t="s">
        <v>29</v>
      </c>
    </row>
    <row r="16" spans="1:17" x14ac:dyDescent="0.25">
      <c r="A16" t="s">
        <v>26</v>
      </c>
      <c r="B16" t="s">
        <v>26</v>
      </c>
      <c r="C16" t="s">
        <v>26</v>
      </c>
      <c r="D16" s="7">
        <v>45778</v>
      </c>
      <c r="E16" s="6">
        <v>-1308.9956880000004</v>
      </c>
      <c r="F16" t="s">
        <v>35</v>
      </c>
      <c r="G16" t="s">
        <v>28</v>
      </c>
      <c r="H16" t="s">
        <v>29</v>
      </c>
      <c r="J16" t="s">
        <v>26</v>
      </c>
      <c r="K16" t="s">
        <v>26</v>
      </c>
      <c r="L16" t="s">
        <v>26</v>
      </c>
      <c r="M16" s="7">
        <v>45778</v>
      </c>
      <c r="N16" s="6">
        <v>-1308.9956880000004</v>
      </c>
      <c r="O16" t="s">
        <v>35</v>
      </c>
      <c r="P16" t="s">
        <v>28</v>
      </c>
      <c r="Q16" t="s">
        <v>29</v>
      </c>
    </row>
    <row r="17" spans="1:17" x14ac:dyDescent="0.25">
      <c r="A17" t="s">
        <v>26</v>
      </c>
      <c r="B17" t="s">
        <v>26</v>
      </c>
      <c r="C17" t="s">
        <v>26</v>
      </c>
      <c r="D17" s="7">
        <v>45809</v>
      </c>
      <c r="E17" s="6">
        <v>-233.30736000000007</v>
      </c>
      <c r="F17" t="s">
        <v>37</v>
      </c>
      <c r="G17" t="s">
        <v>28</v>
      </c>
      <c r="H17" t="s">
        <v>29</v>
      </c>
      <c r="J17" t="s">
        <v>26</v>
      </c>
      <c r="K17" t="s">
        <v>26</v>
      </c>
      <c r="L17" t="s">
        <v>26</v>
      </c>
      <c r="M17" s="7">
        <v>45809</v>
      </c>
      <c r="N17" s="6">
        <v>-233.30736000000007</v>
      </c>
      <c r="O17" t="s">
        <v>37</v>
      </c>
      <c r="P17" t="s">
        <v>28</v>
      </c>
      <c r="Q17" t="s">
        <v>29</v>
      </c>
    </row>
    <row r="18" spans="1:17" x14ac:dyDescent="0.25">
      <c r="A18" t="s">
        <v>26</v>
      </c>
      <c r="B18" t="s">
        <v>26</v>
      </c>
      <c r="C18" t="s">
        <v>26</v>
      </c>
      <c r="D18" s="7">
        <v>45839</v>
      </c>
      <c r="E18" s="6">
        <v>-1252.0828320000003</v>
      </c>
      <c r="F18" t="s">
        <v>38</v>
      </c>
      <c r="G18" t="s">
        <v>28</v>
      </c>
      <c r="H18" t="s">
        <v>29</v>
      </c>
      <c r="J18" t="s">
        <v>26</v>
      </c>
      <c r="K18" t="s">
        <v>26</v>
      </c>
      <c r="L18" t="s">
        <v>26</v>
      </c>
      <c r="M18" s="7">
        <v>45839</v>
      </c>
      <c r="N18" s="6">
        <v>-1252.0828320000003</v>
      </c>
      <c r="O18" t="s">
        <v>38</v>
      </c>
      <c r="P18" t="s">
        <v>28</v>
      </c>
      <c r="Q18" t="s">
        <v>29</v>
      </c>
    </row>
    <row r="19" spans="1:17" x14ac:dyDescent="0.25">
      <c r="A19" t="s">
        <v>26</v>
      </c>
      <c r="B19" t="s">
        <v>26</v>
      </c>
      <c r="C19" t="s">
        <v>26</v>
      </c>
      <c r="D19" s="7">
        <v>45839</v>
      </c>
      <c r="E19" s="6">
        <v>-424.19520000000011</v>
      </c>
      <c r="F19" t="s">
        <v>39</v>
      </c>
      <c r="G19" t="s">
        <v>28</v>
      </c>
      <c r="H19" t="s">
        <v>29</v>
      </c>
      <c r="J19" t="s">
        <v>26</v>
      </c>
      <c r="K19" t="s">
        <v>26</v>
      </c>
      <c r="L19" t="s">
        <v>26</v>
      </c>
      <c r="M19" s="7">
        <v>45839</v>
      </c>
      <c r="N19" s="6">
        <v>-424.19520000000011</v>
      </c>
      <c r="O19" t="s">
        <v>39</v>
      </c>
      <c r="P19" t="s">
        <v>28</v>
      </c>
      <c r="Q19" t="s">
        <v>29</v>
      </c>
    </row>
    <row r="20" spans="1:17" x14ac:dyDescent="0.25">
      <c r="A20" t="s">
        <v>26</v>
      </c>
      <c r="B20" t="s">
        <v>26</v>
      </c>
      <c r="C20" t="s">
        <v>26</v>
      </c>
      <c r="D20" s="7">
        <v>45839</v>
      </c>
      <c r="E20" s="6">
        <v>-2276.51424</v>
      </c>
      <c r="F20" t="s">
        <v>38</v>
      </c>
      <c r="G20" t="s">
        <v>28</v>
      </c>
      <c r="H20" t="s">
        <v>29</v>
      </c>
      <c r="J20" t="s">
        <v>26</v>
      </c>
      <c r="K20" t="s">
        <v>26</v>
      </c>
      <c r="L20" t="s">
        <v>26</v>
      </c>
      <c r="M20" s="7">
        <v>45839</v>
      </c>
      <c r="N20" s="6">
        <v>-2276.51424</v>
      </c>
      <c r="O20" t="s">
        <v>38</v>
      </c>
      <c r="P20" t="s">
        <v>28</v>
      </c>
      <c r="Q20" t="s">
        <v>29</v>
      </c>
    </row>
    <row r="21" spans="1:17" x14ac:dyDescent="0.25">
      <c r="A21" t="s">
        <v>26</v>
      </c>
      <c r="B21" t="s">
        <v>26</v>
      </c>
      <c r="C21" t="s">
        <v>26</v>
      </c>
      <c r="D21" s="7">
        <v>45870</v>
      </c>
      <c r="E21" s="6">
        <v>-378.59421600000013</v>
      </c>
      <c r="F21" t="s">
        <v>40</v>
      </c>
      <c r="G21" t="s">
        <v>28</v>
      </c>
      <c r="H21" t="s">
        <v>29</v>
      </c>
      <c r="J21" t="s">
        <v>26</v>
      </c>
      <c r="K21" t="s">
        <v>26</v>
      </c>
      <c r="L21" t="s">
        <v>26</v>
      </c>
      <c r="M21" s="7">
        <v>45870</v>
      </c>
      <c r="N21" s="6">
        <v>-378.59421600000013</v>
      </c>
      <c r="O21" t="s">
        <v>40</v>
      </c>
      <c r="P21" t="s">
        <v>28</v>
      </c>
      <c r="Q21" t="s">
        <v>29</v>
      </c>
    </row>
    <row r="22" spans="1:17" x14ac:dyDescent="0.25">
      <c r="A22" t="s">
        <v>26</v>
      </c>
      <c r="B22" t="s">
        <v>26</v>
      </c>
      <c r="C22" t="s">
        <v>26</v>
      </c>
      <c r="D22" s="7">
        <v>45870</v>
      </c>
      <c r="E22" s="6">
        <v>-2031.7889592000006</v>
      </c>
      <c r="F22" t="s">
        <v>41</v>
      </c>
      <c r="G22" t="s">
        <v>28</v>
      </c>
      <c r="H22" t="s">
        <v>29</v>
      </c>
      <c r="J22" t="s">
        <v>26</v>
      </c>
      <c r="K22" t="s">
        <v>26</v>
      </c>
      <c r="L22" t="s">
        <v>26</v>
      </c>
      <c r="M22" s="7">
        <v>45870</v>
      </c>
      <c r="N22" s="6">
        <v>-2031.7889592000006</v>
      </c>
      <c r="O22" t="s">
        <v>41</v>
      </c>
      <c r="P22" t="s">
        <v>28</v>
      </c>
      <c r="Q22" t="s">
        <v>29</v>
      </c>
    </row>
    <row r="23" spans="1:17" x14ac:dyDescent="0.25">
      <c r="A23" t="s">
        <v>26</v>
      </c>
      <c r="B23" t="s">
        <v>26</v>
      </c>
      <c r="C23" t="s">
        <v>26</v>
      </c>
      <c r="D23" s="7">
        <v>45901</v>
      </c>
      <c r="E23" s="6">
        <v>-356.96026080000013</v>
      </c>
      <c r="F23" t="s">
        <v>42</v>
      </c>
      <c r="G23" t="s">
        <v>28</v>
      </c>
      <c r="H23" t="s">
        <v>29</v>
      </c>
      <c r="J23" t="s">
        <v>26</v>
      </c>
      <c r="K23" t="s">
        <v>26</v>
      </c>
      <c r="L23" t="s">
        <v>26</v>
      </c>
      <c r="M23" s="7">
        <v>45901</v>
      </c>
      <c r="N23" s="6">
        <v>-356.96026080000013</v>
      </c>
      <c r="O23" t="s">
        <v>42</v>
      </c>
      <c r="P23" t="s">
        <v>28</v>
      </c>
      <c r="Q23" t="s">
        <v>29</v>
      </c>
    </row>
    <row r="24" spans="1:17" x14ac:dyDescent="0.25">
      <c r="A24" t="s">
        <v>26</v>
      </c>
      <c r="B24" t="s">
        <v>26</v>
      </c>
      <c r="C24" t="s">
        <v>26</v>
      </c>
      <c r="D24" s="7">
        <v>45931</v>
      </c>
      <c r="E24" s="6">
        <v>-1915.6867329600007</v>
      </c>
      <c r="F24" t="s">
        <v>43</v>
      </c>
      <c r="G24" t="s">
        <v>28</v>
      </c>
      <c r="H24" t="s">
        <v>29</v>
      </c>
      <c r="J24" t="s">
        <v>26</v>
      </c>
      <c r="K24" t="s">
        <v>26</v>
      </c>
      <c r="L24" t="s">
        <v>26</v>
      </c>
      <c r="M24" s="7">
        <v>45931</v>
      </c>
      <c r="N24" s="6">
        <v>-1915.6867329600007</v>
      </c>
      <c r="O24" t="s">
        <v>43</v>
      </c>
      <c r="P24" t="s">
        <v>28</v>
      </c>
      <c r="Q24" t="s">
        <v>29</v>
      </c>
    </row>
    <row r="25" spans="1:17" x14ac:dyDescent="0.25">
      <c r="A25" t="s">
        <v>26</v>
      </c>
      <c r="B25" t="s">
        <v>26</v>
      </c>
      <c r="C25" t="s">
        <v>26</v>
      </c>
      <c r="D25" s="7">
        <v>45931</v>
      </c>
      <c r="E25" s="6">
        <v>-335.32630560000013</v>
      </c>
      <c r="F25" t="s">
        <v>44</v>
      </c>
      <c r="G25" t="s">
        <v>28</v>
      </c>
      <c r="H25" t="s">
        <v>29</v>
      </c>
      <c r="J25" t="s">
        <v>26</v>
      </c>
      <c r="K25" t="s">
        <v>26</v>
      </c>
      <c r="L25" t="s">
        <v>26</v>
      </c>
      <c r="M25" s="7">
        <v>45931</v>
      </c>
      <c r="N25" s="6">
        <v>-335.32630560000013</v>
      </c>
      <c r="O25" t="s">
        <v>44</v>
      </c>
      <c r="P25" t="s">
        <v>28</v>
      </c>
      <c r="Q25" t="s">
        <v>29</v>
      </c>
    </row>
    <row r="26" spans="1:17" x14ac:dyDescent="0.25">
      <c r="A26" t="s">
        <v>26</v>
      </c>
      <c r="B26" t="s">
        <v>26</v>
      </c>
      <c r="C26" t="s">
        <v>26</v>
      </c>
      <c r="D26" s="7">
        <v>45931</v>
      </c>
      <c r="E26" s="6">
        <v>-1799.5845067200003</v>
      </c>
      <c r="F26" t="s">
        <v>43</v>
      </c>
      <c r="G26" t="s">
        <v>28</v>
      </c>
      <c r="H26" t="s">
        <v>29</v>
      </c>
      <c r="J26" t="s">
        <v>26</v>
      </c>
      <c r="K26" t="s">
        <v>26</v>
      </c>
      <c r="L26" t="s">
        <v>26</v>
      </c>
      <c r="M26" s="7">
        <v>45931</v>
      </c>
      <c r="N26" s="6">
        <v>-1799.5845067200003</v>
      </c>
      <c r="O26" t="s">
        <v>43</v>
      </c>
      <c r="P26" t="s">
        <v>28</v>
      </c>
      <c r="Q26" t="s">
        <v>29</v>
      </c>
    </row>
    <row r="27" spans="1:17" x14ac:dyDescent="0.25">
      <c r="A27" t="s">
        <v>26</v>
      </c>
      <c r="B27" t="s">
        <v>26</v>
      </c>
      <c r="C27" t="s">
        <v>26</v>
      </c>
      <c r="D27" s="7">
        <v>45962</v>
      </c>
      <c r="E27" s="6">
        <v>-411.04514880000011</v>
      </c>
      <c r="F27" t="s">
        <v>45</v>
      </c>
      <c r="G27" t="s">
        <v>28</v>
      </c>
      <c r="H27" t="s">
        <v>29</v>
      </c>
      <c r="J27" t="s">
        <v>26</v>
      </c>
      <c r="K27" t="s">
        <v>26</v>
      </c>
      <c r="L27" t="s">
        <v>26</v>
      </c>
      <c r="M27" s="7">
        <v>45962</v>
      </c>
      <c r="N27" s="6">
        <v>-411.04514880000011</v>
      </c>
      <c r="O27" t="s">
        <v>45</v>
      </c>
      <c r="P27" t="s">
        <v>28</v>
      </c>
      <c r="Q27" t="s">
        <v>29</v>
      </c>
    </row>
    <row r="28" spans="1:17" x14ac:dyDescent="0.25">
      <c r="A28" t="s">
        <v>26</v>
      </c>
      <c r="B28" t="s">
        <v>26</v>
      </c>
      <c r="C28" t="s">
        <v>26</v>
      </c>
      <c r="D28" s="7">
        <v>45992</v>
      </c>
      <c r="E28" s="6">
        <v>-2205.9422985600004</v>
      </c>
      <c r="F28" t="s">
        <v>46</v>
      </c>
      <c r="G28" t="s">
        <v>28</v>
      </c>
      <c r="H28" t="s">
        <v>29</v>
      </c>
      <c r="J28" t="s">
        <v>26</v>
      </c>
      <c r="K28" t="s">
        <v>26</v>
      </c>
      <c r="L28" t="s">
        <v>26</v>
      </c>
      <c r="M28" s="7">
        <v>45992</v>
      </c>
      <c r="N28" s="6">
        <v>-2205.9422985600004</v>
      </c>
      <c r="O28" t="s">
        <v>46</v>
      </c>
      <c r="P28" t="s">
        <v>28</v>
      </c>
      <c r="Q28" t="s">
        <v>29</v>
      </c>
    </row>
    <row r="29" spans="1:17" x14ac:dyDescent="0.25">
      <c r="A29" t="s">
        <v>26</v>
      </c>
      <c r="B29" t="s">
        <v>26</v>
      </c>
      <c r="C29" t="s">
        <v>26</v>
      </c>
      <c r="D29" s="7">
        <v>45992</v>
      </c>
      <c r="E29" s="6">
        <v>-540.84888000000012</v>
      </c>
      <c r="F29" t="s">
        <v>47</v>
      </c>
      <c r="G29" t="s">
        <v>28</v>
      </c>
      <c r="H29" t="s">
        <v>29</v>
      </c>
      <c r="J29" t="s">
        <v>26</v>
      </c>
      <c r="K29" t="s">
        <v>26</v>
      </c>
      <c r="L29" t="s">
        <v>26</v>
      </c>
      <c r="M29" s="7">
        <v>45992</v>
      </c>
      <c r="N29" s="6">
        <v>-540.84888000000012</v>
      </c>
      <c r="O29" t="s">
        <v>47</v>
      </c>
      <c r="P29" t="s">
        <v>28</v>
      </c>
      <c r="Q29" t="s">
        <v>29</v>
      </c>
    </row>
    <row r="30" spans="1:17" x14ac:dyDescent="0.25">
      <c r="A30" t="s">
        <v>26</v>
      </c>
      <c r="B30" t="s">
        <v>26</v>
      </c>
      <c r="C30" t="s">
        <v>26</v>
      </c>
      <c r="D30" s="7">
        <v>45992</v>
      </c>
      <c r="E30" s="6">
        <v>-2902.5556560000005</v>
      </c>
      <c r="F30" t="s">
        <v>46</v>
      </c>
      <c r="G30" t="s">
        <v>28</v>
      </c>
      <c r="H30" t="s">
        <v>29</v>
      </c>
      <c r="J30" t="s">
        <v>26</v>
      </c>
      <c r="K30" t="s">
        <v>26</v>
      </c>
      <c r="L30" t="s">
        <v>26</v>
      </c>
      <c r="M30" s="7">
        <v>45992</v>
      </c>
      <c r="N30" s="6">
        <v>-2902.5556560000005</v>
      </c>
      <c r="O30" t="s">
        <v>46</v>
      </c>
      <c r="P30" t="s">
        <v>28</v>
      </c>
      <c r="Q30" t="s">
        <v>29</v>
      </c>
    </row>
    <row r="31" spans="1:17" x14ac:dyDescent="0.25">
      <c r="A31" t="s">
        <v>26</v>
      </c>
      <c r="B31" t="s">
        <v>26</v>
      </c>
      <c r="C31" t="s">
        <v>26</v>
      </c>
      <c r="D31" s="7">
        <v>45658</v>
      </c>
      <c r="E31" s="6">
        <v>-4125</v>
      </c>
      <c r="F31" t="s">
        <v>48</v>
      </c>
      <c r="G31" t="s">
        <v>49</v>
      </c>
      <c r="H31" t="s">
        <v>29</v>
      </c>
      <c r="J31" t="s">
        <v>26</v>
      </c>
      <c r="K31" t="s">
        <v>26</v>
      </c>
      <c r="L31" t="s">
        <v>26</v>
      </c>
      <c r="M31" s="7">
        <v>45689</v>
      </c>
      <c r="N31" s="6">
        <v>-4125</v>
      </c>
      <c r="O31" t="s">
        <v>52</v>
      </c>
      <c r="P31" t="s">
        <v>49</v>
      </c>
      <c r="Q31" t="s">
        <v>29</v>
      </c>
    </row>
    <row r="32" spans="1:17" x14ac:dyDescent="0.25">
      <c r="A32" t="s">
        <v>26</v>
      </c>
      <c r="B32" t="s">
        <v>26</v>
      </c>
      <c r="C32" t="s">
        <v>26</v>
      </c>
      <c r="D32" s="7">
        <v>45689</v>
      </c>
      <c r="E32" s="6">
        <v>-2970.0000000000005</v>
      </c>
      <c r="F32" t="s">
        <v>48</v>
      </c>
      <c r="G32" t="s">
        <v>49</v>
      </c>
      <c r="H32" t="s">
        <v>29</v>
      </c>
      <c r="J32" t="s">
        <v>26</v>
      </c>
      <c r="K32" t="s">
        <v>26</v>
      </c>
      <c r="L32" t="s">
        <v>26</v>
      </c>
      <c r="M32" s="7">
        <v>45717</v>
      </c>
      <c r="N32" s="6">
        <v>-2970.0000000000005</v>
      </c>
      <c r="O32" t="s">
        <v>53</v>
      </c>
      <c r="P32" t="s">
        <v>49</v>
      </c>
      <c r="Q32" t="s">
        <v>29</v>
      </c>
    </row>
    <row r="33" spans="1:17" x14ac:dyDescent="0.25">
      <c r="A33" t="s">
        <v>26</v>
      </c>
      <c r="B33" t="s">
        <v>26</v>
      </c>
      <c r="C33" t="s">
        <v>26</v>
      </c>
      <c r="D33" s="7">
        <v>45717</v>
      </c>
      <c r="E33" s="6">
        <v>-4588.6500000000005</v>
      </c>
      <c r="F33" t="s">
        <v>48</v>
      </c>
      <c r="G33" t="s">
        <v>49</v>
      </c>
      <c r="H33" t="s">
        <v>29</v>
      </c>
      <c r="J33" t="s">
        <v>26</v>
      </c>
      <c r="K33" t="s">
        <v>26</v>
      </c>
      <c r="L33" t="s">
        <v>26</v>
      </c>
      <c r="M33" s="7">
        <v>45748</v>
      </c>
      <c r="N33" s="6">
        <v>-4588.6500000000005</v>
      </c>
      <c r="O33" t="s">
        <v>54</v>
      </c>
      <c r="P33" t="s">
        <v>49</v>
      </c>
      <c r="Q33" t="s">
        <v>29</v>
      </c>
    </row>
    <row r="34" spans="1:17" x14ac:dyDescent="0.25">
      <c r="A34" t="s">
        <v>26</v>
      </c>
      <c r="B34" t="s">
        <v>26</v>
      </c>
      <c r="C34" t="s">
        <v>26</v>
      </c>
      <c r="D34" s="7">
        <v>45748</v>
      </c>
      <c r="E34" s="6">
        <v>-3229.0500000000006</v>
      </c>
      <c r="F34" t="s">
        <v>48</v>
      </c>
      <c r="G34" t="s">
        <v>49</v>
      </c>
      <c r="H34" t="s">
        <v>29</v>
      </c>
      <c r="J34" t="s">
        <v>26</v>
      </c>
      <c r="K34" t="s">
        <v>26</v>
      </c>
      <c r="L34" t="s">
        <v>26</v>
      </c>
      <c r="M34" s="7">
        <v>45778</v>
      </c>
      <c r="N34" s="6">
        <v>-3229.0500000000006</v>
      </c>
      <c r="O34" t="s">
        <v>55</v>
      </c>
      <c r="P34" t="s">
        <v>49</v>
      </c>
      <c r="Q34" t="s">
        <v>29</v>
      </c>
    </row>
    <row r="35" spans="1:17" x14ac:dyDescent="0.25">
      <c r="A35" t="s">
        <v>26</v>
      </c>
      <c r="B35" t="s">
        <v>26</v>
      </c>
      <c r="C35" t="s">
        <v>26</v>
      </c>
      <c r="D35" s="7">
        <v>45778</v>
      </c>
      <c r="E35" s="6">
        <v>-4065.2040000000015</v>
      </c>
      <c r="F35" t="s">
        <v>48</v>
      </c>
      <c r="G35" t="s">
        <v>49</v>
      </c>
      <c r="H35" t="s">
        <v>29</v>
      </c>
      <c r="J35" t="s">
        <v>26</v>
      </c>
      <c r="K35" t="s">
        <v>26</v>
      </c>
      <c r="L35" t="s">
        <v>26</v>
      </c>
      <c r="M35" s="7">
        <v>45809</v>
      </c>
      <c r="N35" s="6">
        <v>-4065.2040000000015</v>
      </c>
      <c r="O35" t="s">
        <v>56</v>
      </c>
      <c r="P35" t="s">
        <v>49</v>
      </c>
      <c r="Q35" t="s">
        <v>29</v>
      </c>
    </row>
    <row r="36" spans="1:17" x14ac:dyDescent="0.25">
      <c r="A36" t="s">
        <v>26</v>
      </c>
      <c r="B36" t="s">
        <v>26</v>
      </c>
      <c r="C36" t="s">
        <v>26</v>
      </c>
      <c r="D36" s="7">
        <v>45809</v>
      </c>
      <c r="E36" s="6">
        <v>-3888.4560000000015</v>
      </c>
      <c r="F36" t="s">
        <v>48</v>
      </c>
      <c r="G36" t="s">
        <v>49</v>
      </c>
      <c r="H36" t="s">
        <v>29</v>
      </c>
      <c r="J36" t="s">
        <v>26</v>
      </c>
      <c r="K36" t="s">
        <v>26</v>
      </c>
      <c r="L36" t="s">
        <v>26</v>
      </c>
      <c r="M36" s="7">
        <v>45839</v>
      </c>
      <c r="N36" s="6">
        <v>-3888.4560000000015</v>
      </c>
      <c r="O36" t="s">
        <v>57</v>
      </c>
      <c r="P36" t="s">
        <v>49</v>
      </c>
      <c r="Q36" t="s">
        <v>29</v>
      </c>
    </row>
    <row r="37" spans="1:17" x14ac:dyDescent="0.25">
      <c r="A37" t="s">
        <v>26</v>
      </c>
      <c r="B37" t="s">
        <v>26</v>
      </c>
      <c r="C37" t="s">
        <v>26</v>
      </c>
      <c r="D37" s="7">
        <v>45839</v>
      </c>
      <c r="E37" s="6">
        <v>-7069.9200000000019</v>
      </c>
      <c r="F37" t="s">
        <v>48</v>
      </c>
      <c r="G37" t="s">
        <v>49</v>
      </c>
      <c r="H37" t="s">
        <v>29</v>
      </c>
      <c r="J37" t="s">
        <v>26</v>
      </c>
      <c r="K37" t="s">
        <v>26</v>
      </c>
      <c r="L37" t="s">
        <v>26</v>
      </c>
      <c r="M37" s="7">
        <v>45870</v>
      </c>
      <c r="N37" s="6">
        <v>-7069.9200000000019</v>
      </c>
      <c r="O37" t="s">
        <v>58</v>
      </c>
      <c r="P37" t="s">
        <v>49</v>
      </c>
      <c r="Q37" t="s">
        <v>29</v>
      </c>
    </row>
    <row r="38" spans="1:17" x14ac:dyDescent="0.25">
      <c r="A38" t="s">
        <v>26</v>
      </c>
      <c r="B38" t="s">
        <v>26</v>
      </c>
      <c r="C38" t="s">
        <v>26</v>
      </c>
      <c r="D38" s="7">
        <v>45870</v>
      </c>
      <c r="E38" s="6">
        <v>-6309.9036000000024</v>
      </c>
      <c r="F38" t="s">
        <v>48</v>
      </c>
      <c r="G38" t="s">
        <v>49</v>
      </c>
      <c r="H38" t="s">
        <v>29</v>
      </c>
      <c r="J38" t="s">
        <v>26</v>
      </c>
      <c r="K38" t="s">
        <v>26</v>
      </c>
      <c r="L38" t="s">
        <v>26</v>
      </c>
      <c r="M38" s="7">
        <v>45901</v>
      </c>
      <c r="N38" s="6">
        <v>-6309.9036000000024</v>
      </c>
      <c r="O38" t="s">
        <v>59</v>
      </c>
      <c r="P38" t="s">
        <v>49</v>
      </c>
      <c r="Q38" t="s">
        <v>29</v>
      </c>
    </row>
    <row r="39" spans="1:17" x14ac:dyDescent="0.25">
      <c r="A39" t="s">
        <v>26</v>
      </c>
      <c r="B39" t="s">
        <v>26</v>
      </c>
      <c r="C39" t="s">
        <v>26</v>
      </c>
      <c r="D39" s="7">
        <v>45901</v>
      </c>
      <c r="E39" s="6">
        <v>-5949.3376800000024</v>
      </c>
      <c r="F39" t="s">
        <v>48</v>
      </c>
      <c r="G39" t="s">
        <v>49</v>
      </c>
      <c r="H39" t="s">
        <v>29</v>
      </c>
      <c r="J39" t="s">
        <v>26</v>
      </c>
      <c r="K39" t="s">
        <v>26</v>
      </c>
      <c r="L39" t="s">
        <v>26</v>
      </c>
      <c r="M39" s="7">
        <v>45931</v>
      </c>
      <c r="N39" s="6">
        <v>-5949.3376800000024</v>
      </c>
      <c r="O39" t="s">
        <v>60</v>
      </c>
      <c r="P39" t="s">
        <v>49</v>
      </c>
      <c r="Q39" t="s">
        <v>29</v>
      </c>
    </row>
    <row r="40" spans="1:17" x14ac:dyDescent="0.25">
      <c r="A40" t="s">
        <v>26</v>
      </c>
      <c r="B40" t="s">
        <v>26</v>
      </c>
      <c r="C40" t="s">
        <v>26</v>
      </c>
      <c r="D40" s="7">
        <v>45931</v>
      </c>
      <c r="E40" s="6">
        <v>-5588.7717600000024</v>
      </c>
      <c r="F40" t="s">
        <v>48</v>
      </c>
      <c r="G40" t="s">
        <v>49</v>
      </c>
      <c r="H40" t="s">
        <v>29</v>
      </c>
      <c r="J40" t="s">
        <v>26</v>
      </c>
      <c r="K40" t="s">
        <v>26</v>
      </c>
      <c r="L40" t="s">
        <v>26</v>
      </c>
      <c r="M40" s="7">
        <v>45962</v>
      </c>
      <c r="N40" s="6">
        <v>-5588.7717600000024</v>
      </c>
      <c r="O40" t="s">
        <v>61</v>
      </c>
      <c r="P40" t="s">
        <v>49</v>
      </c>
      <c r="Q40" t="s">
        <v>29</v>
      </c>
    </row>
    <row r="41" spans="1:17" x14ac:dyDescent="0.25">
      <c r="A41" t="s">
        <v>26</v>
      </c>
      <c r="B41" t="s">
        <v>26</v>
      </c>
      <c r="C41" t="s">
        <v>26</v>
      </c>
      <c r="D41" s="7">
        <v>45962</v>
      </c>
      <c r="E41" s="6">
        <v>-6850.7524800000019</v>
      </c>
      <c r="F41" t="s">
        <v>48</v>
      </c>
      <c r="G41" t="s">
        <v>49</v>
      </c>
      <c r="H41" t="s">
        <v>29</v>
      </c>
      <c r="J41" t="s">
        <v>26</v>
      </c>
      <c r="K41" t="s">
        <v>26</v>
      </c>
      <c r="L41" t="s">
        <v>26</v>
      </c>
      <c r="M41" s="7">
        <v>45992</v>
      </c>
      <c r="N41" s="6">
        <v>-6850.7524800000019</v>
      </c>
      <c r="O41" t="s">
        <v>62</v>
      </c>
      <c r="P41" t="s">
        <v>49</v>
      </c>
      <c r="Q41" t="s">
        <v>29</v>
      </c>
    </row>
    <row r="42" spans="1:17" x14ac:dyDescent="0.25">
      <c r="A42" t="s">
        <v>26</v>
      </c>
      <c r="B42" t="s">
        <v>26</v>
      </c>
      <c r="C42" t="s">
        <v>26</v>
      </c>
      <c r="D42" s="7">
        <v>45992</v>
      </c>
      <c r="E42" s="6">
        <v>-9014.1480000000029</v>
      </c>
      <c r="F42" t="s">
        <v>48</v>
      </c>
      <c r="G42" t="s">
        <v>49</v>
      </c>
      <c r="H42" t="s">
        <v>29</v>
      </c>
      <c r="J42" t="s">
        <v>26</v>
      </c>
      <c r="K42" t="s">
        <v>26</v>
      </c>
      <c r="L42" t="s">
        <v>26</v>
      </c>
      <c r="M42" s="7">
        <v>46023</v>
      </c>
      <c r="N42" s="6">
        <v>-9014.1480000000029</v>
      </c>
      <c r="O42" t="s">
        <v>63</v>
      </c>
      <c r="P42" t="s">
        <v>49</v>
      </c>
      <c r="Q42" t="s">
        <v>29</v>
      </c>
    </row>
    <row r="43" spans="1:17" x14ac:dyDescent="0.25">
      <c r="A43" t="s">
        <v>26</v>
      </c>
      <c r="B43" t="s">
        <v>26</v>
      </c>
      <c r="C43" t="s">
        <v>26</v>
      </c>
      <c r="D43" s="7">
        <v>45658</v>
      </c>
      <c r="E43" s="6">
        <v>-5775.0000000000009</v>
      </c>
      <c r="F43" t="s">
        <v>50</v>
      </c>
      <c r="G43" t="s">
        <v>51</v>
      </c>
      <c r="H43" t="s">
        <v>29</v>
      </c>
      <c r="J43" t="s">
        <v>26</v>
      </c>
      <c r="K43" t="s">
        <v>26</v>
      </c>
      <c r="L43" t="s">
        <v>26</v>
      </c>
      <c r="M43" s="7">
        <v>45689</v>
      </c>
      <c r="N43" s="6">
        <v>-5775.0000000000009</v>
      </c>
      <c r="O43" t="s">
        <v>64</v>
      </c>
      <c r="P43" t="s">
        <v>51</v>
      </c>
      <c r="Q43" t="s">
        <v>29</v>
      </c>
    </row>
    <row r="44" spans="1:17" x14ac:dyDescent="0.25">
      <c r="A44" t="s">
        <v>26</v>
      </c>
      <c r="B44" t="s">
        <v>26</v>
      </c>
      <c r="C44" t="s">
        <v>26</v>
      </c>
      <c r="D44" s="7">
        <v>45689</v>
      </c>
      <c r="E44" s="6">
        <v>-4158.0000000000009</v>
      </c>
      <c r="F44" t="s">
        <v>50</v>
      </c>
      <c r="G44" t="s">
        <v>51</v>
      </c>
      <c r="H44" t="s">
        <v>29</v>
      </c>
      <c r="J44" t="s">
        <v>26</v>
      </c>
      <c r="K44" t="s">
        <v>26</v>
      </c>
      <c r="L44" t="s">
        <v>26</v>
      </c>
      <c r="M44" s="7">
        <v>45717</v>
      </c>
      <c r="N44" s="6">
        <v>-4158.0000000000009</v>
      </c>
      <c r="O44" t="s">
        <v>65</v>
      </c>
      <c r="P44" t="s">
        <v>51</v>
      </c>
      <c r="Q44" t="s">
        <v>29</v>
      </c>
    </row>
    <row r="45" spans="1:17" x14ac:dyDescent="0.25">
      <c r="A45" t="s">
        <v>26</v>
      </c>
      <c r="B45" t="s">
        <v>26</v>
      </c>
      <c r="C45" t="s">
        <v>26</v>
      </c>
      <c r="D45" s="7">
        <v>45717</v>
      </c>
      <c r="E45" s="6">
        <v>-6424.1100000000015</v>
      </c>
      <c r="F45" t="s">
        <v>50</v>
      </c>
      <c r="G45" t="s">
        <v>51</v>
      </c>
      <c r="H45" t="s">
        <v>29</v>
      </c>
      <c r="J45" t="s">
        <v>26</v>
      </c>
      <c r="K45" t="s">
        <v>26</v>
      </c>
      <c r="L45" t="s">
        <v>26</v>
      </c>
      <c r="M45" s="7">
        <v>45748</v>
      </c>
      <c r="N45" s="6">
        <v>-6424.1100000000015</v>
      </c>
      <c r="O45" t="s">
        <v>66</v>
      </c>
      <c r="P45" t="s">
        <v>51</v>
      </c>
      <c r="Q45" t="s">
        <v>29</v>
      </c>
    </row>
    <row r="46" spans="1:17" x14ac:dyDescent="0.25">
      <c r="A46" t="s">
        <v>26</v>
      </c>
      <c r="B46" t="s">
        <v>26</v>
      </c>
      <c r="C46" t="s">
        <v>26</v>
      </c>
      <c r="D46" s="7">
        <v>45748</v>
      </c>
      <c r="E46" s="6">
        <v>-4520.670000000001</v>
      </c>
      <c r="F46" t="s">
        <v>50</v>
      </c>
      <c r="G46" t="s">
        <v>51</v>
      </c>
      <c r="H46" t="s">
        <v>29</v>
      </c>
      <c r="J46" t="s">
        <v>26</v>
      </c>
      <c r="K46" t="s">
        <v>26</v>
      </c>
      <c r="L46" t="s">
        <v>26</v>
      </c>
      <c r="M46" s="7">
        <v>45778</v>
      </c>
      <c r="N46" s="6">
        <v>-4520.670000000001</v>
      </c>
      <c r="O46" t="s">
        <v>67</v>
      </c>
      <c r="P46" t="s">
        <v>51</v>
      </c>
      <c r="Q46" t="s">
        <v>29</v>
      </c>
    </row>
    <row r="47" spans="1:17" x14ac:dyDescent="0.25">
      <c r="A47" t="s">
        <v>26</v>
      </c>
      <c r="B47" t="s">
        <v>26</v>
      </c>
      <c r="C47" t="s">
        <v>26</v>
      </c>
      <c r="D47" s="7">
        <v>45778</v>
      </c>
      <c r="E47" s="6">
        <v>-5691.2856000000029</v>
      </c>
      <c r="F47" t="s">
        <v>50</v>
      </c>
      <c r="G47" t="s">
        <v>51</v>
      </c>
      <c r="H47" t="s">
        <v>29</v>
      </c>
      <c r="J47" t="s">
        <v>26</v>
      </c>
      <c r="K47" t="s">
        <v>26</v>
      </c>
      <c r="L47" t="s">
        <v>26</v>
      </c>
      <c r="M47" s="7">
        <v>45809</v>
      </c>
      <c r="N47" s="6">
        <v>-5691.2856000000029</v>
      </c>
      <c r="O47" t="s">
        <v>68</v>
      </c>
      <c r="P47" t="s">
        <v>51</v>
      </c>
      <c r="Q47" t="s">
        <v>29</v>
      </c>
    </row>
    <row r="48" spans="1:17" x14ac:dyDescent="0.25">
      <c r="A48" t="s">
        <v>26</v>
      </c>
      <c r="B48" t="s">
        <v>26</v>
      </c>
      <c r="C48" t="s">
        <v>26</v>
      </c>
      <c r="D48" s="7">
        <v>45809</v>
      </c>
      <c r="E48" s="6">
        <v>-5443.8384000000024</v>
      </c>
      <c r="F48" t="s">
        <v>50</v>
      </c>
      <c r="G48" t="s">
        <v>51</v>
      </c>
      <c r="H48" t="s">
        <v>29</v>
      </c>
      <c r="J48" t="s">
        <v>26</v>
      </c>
      <c r="K48" t="s">
        <v>26</v>
      </c>
      <c r="L48" t="s">
        <v>26</v>
      </c>
      <c r="M48" s="7">
        <v>45839</v>
      </c>
      <c r="N48" s="6">
        <v>-5443.8384000000024</v>
      </c>
      <c r="O48" t="s">
        <v>69</v>
      </c>
      <c r="P48" t="s">
        <v>51</v>
      </c>
      <c r="Q48" t="s">
        <v>29</v>
      </c>
    </row>
    <row r="49" spans="1:17" x14ac:dyDescent="0.25">
      <c r="A49" t="s">
        <v>26</v>
      </c>
      <c r="B49" t="s">
        <v>26</v>
      </c>
      <c r="C49" t="s">
        <v>26</v>
      </c>
      <c r="D49" s="7">
        <v>45839</v>
      </c>
      <c r="E49" s="6">
        <v>-9897.8880000000026</v>
      </c>
      <c r="F49" t="s">
        <v>50</v>
      </c>
      <c r="G49" t="s">
        <v>51</v>
      </c>
      <c r="H49" t="s">
        <v>29</v>
      </c>
      <c r="J49" t="s">
        <v>26</v>
      </c>
      <c r="K49" t="s">
        <v>26</v>
      </c>
      <c r="L49" t="s">
        <v>26</v>
      </c>
      <c r="M49" s="7">
        <v>45870</v>
      </c>
      <c r="N49" s="6">
        <v>-9897.8880000000026</v>
      </c>
      <c r="O49" t="s">
        <v>70</v>
      </c>
      <c r="P49" t="s">
        <v>51</v>
      </c>
      <c r="Q49" t="s">
        <v>29</v>
      </c>
    </row>
    <row r="50" spans="1:17" x14ac:dyDescent="0.25">
      <c r="A50" t="s">
        <v>26</v>
      </c>
      <c r="B50" t="s">
        <v>26</v>
      </c>
      <c r="C50" t="s">
        <v>26</v>
      </c>
      <c r="D50" s="7">
        <v>45870</v>
      </c>
      <c r="E50" s="6">
        <v>-8833.8650400000042</v>
      </c>
      <c r="F50" t="s">
        <v>50</v>
      </c>
      <c r="G50" t="s">
        <v>51</v>
      </c>
      <c r="H50" t="s">
        <v>29</v>
      </c>
      <c r="J50" t="s">
        <v>26</v>
      </c>
      <c r="K50" t="s">
        <v>26</v>
      </c>
      <c r="L50" t="s">
        <v>26</v>
      </c>
      <c r="M50" s="7">
        <v>45901</v>
      </c>
      <c r="N50" s="6">
        <v>-8833.8650400000042</v>
      </c>
      <c r="O50" t="s">
        <v>71</v>
      </c>
      <c r="P50" t="s">
        <v>51</v>
      </c>
      <c r="Q50" t="s">
        <v>29</v>
      </c>
    </row>
    <row r="51" spans="1:17" x14ac:dyDescent="0.25">
      <c r="A51" t="s">
        <v>26</v>
      </c>
      <c r="B51" t="s">
        <v>26</v>
      </c>
      <c r="C51" t="s">
        <v>26</v>
      </c>
      <c r="D51" s="7">
        <v>45901</v>
      </c>
      <c r="E51" s="6">
        <v>-8329.0727520000037</v>
      </c>
      <c r="F51" t="s">
        <v>50</v>
      </c>
      <c r="G51" t="s">
        <v>51</v>
      </c>
      <c r="H51" t="s">
        <v>29</v>
      </c>
      <c r="J51" t="s">
        <v>26</v>
      </c>
      <c r="K51" t="s">
        <v>26</v>
      </c>
      <c r="L51" t="s">
        <v>26</v>
      </c>
      <c r="M51" s="7">
        <v>45931</v>
      </c>
      <c r="N51" s="6">
        <v>-8329.0727520000037</v>
      </c>
      <c r="O51" t="s">
        <v>72</v>
      </c>
      <c r="P51" t="s">
        <v>51</v>
      </c>
      <c r="Q51" t="s">
        <v>29</v>
      </c>
    </row>
    <row r="52" spans="1:17" x14ac:dyDescent="0.25">
      <c r="A52" t="s">
        <v>26</v>
      </c>
      <c r="B52" t="s">
        <v>26</v>
      </c>
      <c r="C52" t="s">
        <v>26</v>
      </c>
      <c r="D52" s="7">
        <v>45931</v>
      </c>
      <c r="E52" s="6">
        <v>-7824.2804640000031</v>
      </c>
      <c r="F52" t="s">
        <v>50</v>
      </c>
      <c r="G52" t="s">
        <v>51</v>
      </c>
      <c r="H52" t="s">
        <v>29</v>
      </c>
      <c r="J52" t="s">
        <v>26</v>
      </c>
      <c r="K52" t="s">
        <v>26</v>
      </c>
      <c r="L52" t="s">
        <v>26</v>
      </c>
      <c r="M52" s="7">
        <v>45962</v>
      </c>
      <c r="N52" s="6">
        <v>-7824.2804640000031</v>
      </c>
      <c r="O52" t="s">
        <v>73</v>
      </c>
      <c r="P52" t="s">
        <v>51</v>
      </c>
      <c r="Q52" t="s">
        <v>29</v>
      </c>
    </row>
    <row r="53" spans="1:17" x14ac:dyDescent="0.25">
      <c r="A53" t="s">
        <v>26</v>
      </c>
      <c r="B53" t="s">
        <v>26</v>
      </c>
      <c r="C53" t="s">
        <v>26</v>
      </c>
      <c r="D53" s="7">
        <v>45962</v>
      </c>
      <c r="E53" s="6">
        <v>-9591.0534720000032</v>
      </c>
      <c r="F53" t="s">
        <v>50</v>
      </c>
      <c r="G53" t="s">
        <v>51</v>
      </c>
      <c r="H53" t="s">
        <v>29</v>
      </c>
      <c r="J53" t="s">
        <v>26</v>
      </c>
      <c r="K53" t="s">
        <v>26</v>
      </c>
      <c r="L53" t="s">
        <v>26</v>
      </c>
      <c r="M53" s="7">
        <v>45992</v>
      </c>
      <c r="N53" s="6">
        <v>-9591.0534720000032</v>
      </c>
      <c r="O53" t="s">
        <v>74</v>
      </c>
      <c r="P53" t="s">
        <v>51</v>
      </c>
      <c r="Q53" t="s">
        <v>29</v>
      </c>
    </row>
    <row r="54" spans="1:17" x14ac:dyDescent="0.25">
      <c r="A54" t="s">
        <v>26</v>
      </c>
      <c r="B54" t="s">
        <v>26</v>
      </c>
      <c r="C54" t="s">
        <v>26</v>
      </c>
      <c r="D54" s="7">
        <v>45992</v>
      </c>
      <c r="E54" s="6">
        <v>-12619.807200000005</v>
      </c>
      <c r="F54" t="s">
        <v>50</v>
      </c>
      <c r="G54" t="s">
        <v>51</v>
      </c>
      <c r="H54" t="s">
        <v>29</v>
      </c>
      <c r="J54" t="s">
        <v>26</v>
      </c>
      <c r="K54" t="s">
        <v>26</v>
      </c>
      <c r="L54" t="s">
        <v>26</v>
      </c>
      <c r="M54" s="7">
        <v>46023</v>
      </c>
      <c r="N54" s="6">
        <v>-12619.807200000005</v>
      </c>
      <c r="O54" t="s">
        <v>75</v>
      </c>
      <c r="P54" t="s">
        <v>51</v>
      </c>
      <c r="Q54" t="s">
        <v>29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2024-10-18T15:46:47Z</dcterms:modified>
  <cp:category/>
  <cp:contentStatus/>
</cp:coreProperties>
</file>
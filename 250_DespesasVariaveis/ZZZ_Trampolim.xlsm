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50_DespesasVariaveis/"/>
    </mc:Choice>
  </mc:AlternateContent>
  <xr:revisionPtr revIDLastSave="184" documentId="8_{3FC7CE8A-A8E3-48C6-BAED-60166CE70BF3}" xr6:coauthVersionLast="47" xr6:coauthVersionMax="47" xr10:uidLastSave="{289D44F9-972A-4D91-8583-11073A91E50F}"/>
  <bookViews>
    <workbookView xWindow="-120" yWindow="-120" windowWidth="38640" windowHeight="2112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Fim!$A$6:$H$54</definedName>
    <definedName name="DadosExternos_2" localSheetId="2" hidden="1">Fim!$J$6:$Q$54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01B9F-DE2F-421B-94AA-5359CF86407B}" keepAlive="1" name="Consulta - DespesasVariaveis" description="Conexão com a consulta 'DespesasVariaveis' na pasta de trabalho." type="5" refreshedVersion="0" saveData="1">
    <dbPr connection="Provider=Microsoft.Mashup.OleDb.1;Data Source=$Workbook$;Location=DespesasVariaveis;Extended Properties=&quot;&quot;" command="SELECT * FROM [DespesasVariaveis]"/>
  </connection>
  <connection id="2" xr16:uid="{44209152-E945-4B76-A958-5E419C05419E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895B0F0C-27E4-4C8D-93D2-AFDA9DC3DE38}" keepAlive="1" name="Consulta - FaturamentoCartao" description="Conexão com a consulta 'FaturamentoCartao' na pasta de trabalho." type="5" refreshedVersion="0" saveData="1">
    <dbPr connection="Provider=Microsoft.Mashup.OleDb.1;Data Source=$Workbook$;Location=FaturamentoCartao;Extended Properties=&quot;&quot;" command="SELECT * FROM [FaturamentoCartao]"/>
  </connection>
  <connection id="5" xr16:uid="{2FFDBC57-7B7A-4F03-A6DE-78B9AAF370CB}" keepAlive="1" name="Consulta - FaturamentoTotal" description="Conexão com a consulta 'FaturamentoTotal' na pasta de trabalho." type="5" refreshedVersion="0" saveData="1">
    <dbPr connection="Provider=Microsoft.Mashup.OleDb.1;Data Source=$Workbook$;Location=FaturamentoTotal;Extended Properties=&quot;&quot;" command="SELECT * FROM [FaturamentoTotal]"/>
  </connection>
  <connection id="6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8F152407-6568-4EE9-9C0C-3FAD4BAF9CA4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8" xr16:uid="{4B7EEDDF-F75A-4CF0-829F-9B960E73020F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9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0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1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2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3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4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5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6" xr16:uid="{5E801974-F26C-4C45-A0BA-99FEB5AF9CE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7" xr16:uid="{C09961D4-A222-4AB3-9B40-8929BBEE328C}" keepAlive="1" name="Consulta - TaxasCartao" description="Conexão com a consulta 'TaxasCartao' na pasta de trabalho." type="5" refreshedVersion="0" saveData="1">
    <dbPr connection="Provider=Microsoft.Mashup.OleDb.1;Data Source=$Workbook$;Location=TaxasCartao;Extended Properties=&quot;&quot;" command="SELECT * FROM [TaxasCartao]"/>
  </connection>
  <connection id="18" xr16:uid="{FC3BC306-CD26-4259-9231-0373B0AC3792}" keepAlive="1" name="Consulta - ValorDespesas" description="Conexão com a consulta 'ValorDespesas' na pasta de trabalho." type="5" refreshedVersion="0" saveData="1">
    <dbPr connection="Provider=Microsoft.Mashup.OleDb.1;Data Source=$Workbook$;Location=ValorDespesas;Extended Properties=&quot;&quot;" command="SELECT * FROM [ValorDespesas]"/>
  </connection>
  <connection id="19" xr16:uid="{6227DF9A-03D7-450C-AE89-7C9CED9BF886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<sst xmlns="http://schemas.openxmlformats.org/spreadsheetml/2006/main" count="610" uniqueCount="76">
  <si>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</si>
  <si>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</si>
  <si>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</si>
  <si>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</si>
  <si>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</si>
  <si>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</si>
  <si>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</si>
  <si>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</si>
  <si>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</si>
  <si>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</si>
  <si>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</si>
  <si>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</si>
  <si>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</si>
  <si>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</si>
  <si>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</si>
  <si>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</si>
  <si>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https://jcbrothers-my.sharepoint.com/personal/jefferson_lojasjckids_com_br/Documents/Cursos/OrcamentoPadaria/250_DespesasVariaveis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</si>
  <si>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</si>
  <si>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</si>
  <si>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</si>
  <si>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</si>
  <si>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</si>
  <si>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</si>
  <si>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</si>
  <si>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</si>
  <si>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</si>
  <si>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</si>
  <si>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TAXA CARTAO DEBITO - REF RECEBIMENTO 01/2025</t>
  </si>
  <si>
    <t>3203</t>
  </si>
  <si>
    <t>99</t>
  </si>
  <si>
    <t>TAXA CARTAO DEBITO - REF RECEBIMENTO 02/2025</t>
  </si>
  <si>
    <t>TAXA CARTAO DEBITO - REF RECEBIMENTO 03/2025</t>
  </si>
  <si>
    <t>TAXA CARTAO CREDITO - REF RECEBIMENTO 01/2025</t>
  </si>
  <si>
    <t>TAXA CARTAO CREDITO - REF RECEBIMENTO 03/2025</t>
  </si>
  <si>
    <t>TAXA CARTAO DEBITO - REF RECEBIMENTO 04/2025</t>
  </si>
  <si>
    <t>TAXA CARTAO CREDITO - REF RECEBIMENTO 05/2025</t>
  </si>
  <si>
    <t>TAXA CARTAO DEBITO - REF RECEBIMENTO 05/2025</t>
  </si>
  <si>
    <t>TAXA CARTAO DEBITO - REF RECEBIMENTO 06/2025</t>
  </si>
  <si>
    <t>TAXA CARTAO CREDITO - REF RECEBIMENTO 07/2025</t>
  </si>
  <si>
    <t>TAXA CARTAO DEBITO - REF RECEBIMENTO 07/2025</t>
  </si>
  <si>
    <t>TAXA CARTAO DEBITO - REF RECEBIMENTO 08/2025</t>
  </si>
  <si>
    <t>TAXA CARTAO CREDITO - REF RECEBIMENTO 08/2025</t>
  </si>
  <si>
    <t>TAXA CARTAO DEBITO - REF RECEBIMENTO 09/2025</t>
  </si>
  <si>
    <t>TAXA CARTAO CREDITO - REF RECEBIMENTO 10/2025</t>
  </si>
  <si>
    <t>TAXA CARTAO DEBITO - REF RECEBIMENTO 10/2025</t>
  </si>
  <si>
    <t>TAXA CARTAO DEBITO - REF RECEBIMENTO 11/2025</t>
  </si>
  <si>
    <t>TAXA CARTAO CREDITO - REF RECEBIMENTO 12/2025</t>
  </si>
  <si>
    <t>TAXA CARTAO DEBITO - REF RECEBIMENTO 12/2025</t>
  </si>
  <si>
    <t>PUBLICIDADE ADS</t>
  </si>
  <si>
    <t>3207</t>
  </si>
  <si>
    <t>PERDA DE MERCADORIA</t>
  </si>
  <si>
    <t>3114</t>
  </si>
  <si>
    <t>PUBLICIDADE ADS - COMP. 01/2025</t>
  </si>
  <si>
    <t>PUBLICIDADE ADS - COMP. 02/2025</t>
  </si>
  <si>
    <t>PUBLICIDADE ADS - COMP. 03/2025</t>
  </si>
  <si>
    <t>PUBLICIDADE ADS - COMP. 04/2025</t>
  </si>
  <si>
    <t>PUBLICIDADE ADS - COMP. 05/2025</t>
  </si>
  <si>
    <t>PUBLICIDADE ADS - COMP. 06/2025</t>
  </si>
  <si>
    <t>PUBLICIDADE ADS - COMP. 07/2025</t>
  </si>
  <si>
    <t>PUBLICIDADE ADS - COMP. 08/2025</t>
  </si>
  <si>
    <t>PUBLICIDADE ADS - COMP. 09/2025</t>
  </si>
  <si>
    <t>PUBLICIDADE ADS - COMP. 10/2025</t>
  </si>
  <si>
    <t>PUBLICIDADE ADS - COMP. 11/2025</t>
  </si>
  <si>
    <t>PUBLICIDADE ADS - COMP. 12/2025</t>
  </si>
  <si>
    <t>PERDA DE MERCADORIA - COMP. 01/2025</t>
  </si>
  <si>
    <t>PERDA DE MERCADORIA - COMP. 02/2025</t>
  </si>
  <si>
    <t>PERDA DE MERCADORIA - COMP. 03/2025</t>
  </si>
  <si>
    <t>PERDA DE MERCADORIA - COMP. 04/2025</t>
  </si>
  <si>
    <t>PERDA DE MERCADORIA - COMP. 05/2025</t>
  </si>
  <si>
    <t>PERDA DE MERCADORIA - COMP. 06/2025</t>
  </si>
  <si>
    <t>PERDA DE MERCADORIA - COMP. 07/2025</t>
  </si>
  <si>
    <t>PERDA DE MERCADORIA - COMP. 08/2025</t>
  </si>
  <si>
    <t>PERDA DE MERCADORIA - COMP. 09/2025</t>
  </si>
  <si>
    <t>PERDA DE MERCADORIA - COMP. 10/2025</t>
  </si>
  <si>
    <t>PERDA DE MERCADORIA - COMP. 11/2025</t>
  </si>
  <si>
    <t>PERDA DE MERCADORIA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</si>
</sst>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64" formatCode="m/d/yyyy"/>
    </dxf>
    <dxf>
      <numFmt numFmtId="4" formatCode="#,##0.00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171450</xdr:rowOff>
        </xdr:from>
        <xdr:to>
          <xdr:col>2</xdr:col>
          <xdr:colOff>2228850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B9201E67-1742-45DE-A6D2-603E3B012EB1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6" xr16:uid="{8C31B3A6-07CF-4D46-B6E6-8E7CF33C5465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CB655-F949-46F6-9E43-B3DDD612E36E}" name="DRE" displayName="DRE" ref="A6:H54" tableType="queryTable" totalsRowShown="0">
  <autoFilter ref="A6:H54" xr:uid="{E6DCB655-F949-46F6-9E43-B3DDD612E36E}"/>
  <tableColumns count="8">
    <tableColumn id="1" xr3:uid="{5B5D82C5-BB30-4782-9BD2-AEAF8978B27E}" uniqueName="1" name="EMPRESA" queryTableFieldId="1"/>
    <tableColumn id="2" xr3:uid="{6E10EF9D-100B-40BA-8A1E-AC333375E9EA}" uniqueName="2" name="FILIAL" queryTableFieldId="2"/>
    <tableColumn id="3" xr3:uid="{76AD1984-3B9C-41AA-9DAF-AE190F2D1B3D}" uniqueName="3" name="NEGOCIO" queryTableFieldId="3"/>
    <tableColumn id="4" xr3:uid="{42540B18-CB8E-4D5A-99CE-C4ED43B797CC}" uniqueName="4" name="DATA" queryTableFieldId="4" dataDxfId="3"/>
    <tableColumn id="5" xr3:uid="{B82589D5-2ABC-477B-99AD-6FC9C18E0A4E}" uniqueName="5" name="VALOR" queryTableFieldId="5" dataDxfId="2"/>
    <tableColumn id="6" xr3:uid="{5D45BF1A-7165-41F2-B339-7315553A265A}" uniqueName="6" name="HISTORICO" queryTableFieldId="6"/>
    <tableColumn id="7" xr3:uid="{EBDCE1B7-80DD-4BE7-82F7-D90C22096C2B}" uniqueName="7" name="CONTA" queryTableFieldId="7"/>
    <tableColumn id="8" xr3:uid="{5D1F2A1A-6FF5-475C-B4F2-9B474DE8FFAC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24A7DC-12BC-4742-954C-7C1435257644}" name="FLCX" displayName="FLCX" ref="J6:Q54" tableType="queryTable" totalsRowShown="0">
  <autoFilter ref="J6:Q54" xr:uid="{DD24A7DC-12BC-4742-954C-7C1435257644}"/>
  <tableColumns count="8">
    <tableColumn id="1" xr3:uid="{D03A4822-EDCE-474E-B2F9-1530BB491AAD}" uniqueName="1" name="EMPRESA" queryTableFieldId="1"/>
    <tableColumn id="2" xr3:uid="{334A1A1C-C96E-47E0-8DA1-6070E27EF09F}" uniqueName="2" name="FILIAL" queryTableFieldId="2"/>
    <tableColumn id="3" xr3:uid="{5E11F2D5-8F5F-445B-957A-AA6179E2917B}" uniqueName="3" name="NEGOCIO" queryTableFieldId="3"/>
    <tableColumn id="4" xr3:uid="{38FAC07F-A55A-440E-AA3B-C7FF211D1190}" uniqueName="4" name="DATA" queryTableFieldId="4" dataDxfId="1"/>
    <tableColumn id="5" xr3:uid="{AA2F3EE9-42D7-4C38-A2D9-7291D3B6083F}" uniqueName="5" name="VALOR" queryTableFieldId="5" dataDxfId="0"/>
    <tableColumn id="6" xr3:uid="{0895DC76-9DAB-4B0E-8A1E-328ADA6C53FE}" uniqueName="6" name="HISTORICO" queryTableFieldId="6"/>
    <tableColumn id="7" xr3:uid="{F3FE4EDB-3578-4475-A67F-6A6A6D036B55}" uniqueName="7" name="CONTA" queryTableFieldId="7"/>
    <tableColumn id="8" xr3:uid="{F4533559-1D3A-4320-81ED-668B5AFA6CF0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8" sqref="B1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45583.776724537034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114300</xdr:colOff>
                    <xdr:row>5</xdr:row>
                    <xdr:rowOff>171450</xdr:rowOff>
                  </from>
                  <to>
                    <xdr:col>2</xdr:col>
                    <xdr:colOff>2228850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Q54"/>
  <sheetViews>
    <sheetView showGridLines="0" workbookViewId="0">
      <selection activeCell="F3" sqref="F3"/>
    </sheetView>
  </sheetViews>
  <sheetFormatPr defaultRowHeight="15" x14ac:dyDescent="0.25"/>
  <cols>
    <col min="1" max="1" width="11.85546875" bestFit="1" customWidth="1"/>
    <col min="2" max="2" width="10.85546875" bestFit="1" customWidth="1"/>
    <col min="3" max="3" width="12.140625" bestFit="1" customWidth="1"/>
    <col min="4" max="4" width="10.5703125" bestFit="1" customWidth="1"/>
    <col min="5" max="5" width="10" bestFit="1" customWidth="1"/>
    <col min="6" max="6" width="47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47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-177072.05637264004</v>
      </c>
    </row>
    <row r="2" spans="1:17" x14ac:dyDescent="0.25">
      <c r="A2" s="2" t="s">
        <v>13</v>
      </c>
      <c r="B2" s="5">
        <f>SUM(FLCX[VALOR])</f>
        <v>-177072.05637264004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-247.5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-247.5</v>
      </c>
      <c r="O7" t="s">
        <v>27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-178.20000000000002</v>
      </c>
      <c r="F8" t="s">
        <v>30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-178.20000000000002</v>
      </c>
      <c r="O8" t="s">
        <v>30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-275.31900000000002</v>
      </c>
      <c r="F9" t="s">
        <v>31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-275.31900000000002</v>
      </c>
      <c r="O9" t="s">
        <v>31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45658</v>
      </c>
      <c r="E10" s="6">
        <v>-1328.2499999999998</v>
      </c>
      <c r="F10" t="s">
        <v>32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45658</v>
      </c>
      <c r="N10" s="6">
        <v>-1328.2499999999998</v>
      </c>
      <c r="O10" t="s">
        <v>32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45717</v>
      </c>
      <c r="E11" s="6">
        <v>-956.34</v>
      </c>
      <c r="F11" t="s">
        <v>33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45717</v>
      </c>
      <c r="N11" s="6">
        <v>-956.34</v>
      </c>
      <c r="O11" t="s">
        <v>33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45717</v>
      </c>
      <c r="E12" s="6">
        <v>-1477.5453</v>
      </c>
      <c r="F12" t="s">
        <v>33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45717</v>
      </c>
      <c r="N12" s="6">
        <v>-1477.5453</v>
      </c>
      <c r="O12" t="s">
        <v>33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45748</v>
      </c>
      <c r="E13" s="6">
        <v>-193.74300000000002</v>
      </c>
      <c r="F13" t="s">
        <v>34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45748</v>
      </c>
      <c r="N13" s="6">
        <v>-193.74300000000002</v>
      </c>
      <c r="O13" t="s">
        <v>34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45778</v>
      </c>
      <c r="E14" s="6">
        <v>-1039.7541000000001</v>
      </c>
      <c r="F14" t="s">
        <v>35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45778</v>
      </c>
      <c r="N14" s="6">
        <v>-1039.7541000000001</v>
      </c>
      <c r="O14" t="s">
        <v>35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45778</v>
      </c>
      <c r="E15" s="6">
        <v>-243.91224000000008</v>
      </c>
      <c r="F15" t="s">
        <v>36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45778</v>
      </c>
      <c r="N15" s="6">
        <v>-243.91224000000008</v>
      </c>
      <c r="O15" t="s">
        <v>36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45778</v>
      </c>
      <c r="E16" s="6">
        <v>-1308.9956880000004</v>
      </c>
      <c r="F16" t="s">
        <v>35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45778</v>
      </c>
      <c r="N16" s="6">
        <v>-1308.9956880000004</v>
      </c>
      <c r="O16" t="s">
        <v>35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45809</v>
      </c>
      <c r="E17" s="6">
        <v>-233.30736000000007</v>
      </c>
      <c r="F17" t="s">
        <v>37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45809</v>
      </c>
      <c r="N17" s="6">
        <v>-233.30736000000007</v>
      </c>
      <c r="O17" t="s">
        <v>37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45839</v>
      </c>
      <c r="E18" s="6">
        <v>-1252.0828320000003</v>
      </c>
      <c r="F18" t="s">
        <v>38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45839</v>
      </c>
      <c r="N18" s="6">
        <v>-1252.0828320000003</v>
      </c>
      <c r="O18" t="s">
        <v>38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45839</v>
      </c>
      <c r="E19" s="6">
        <v>-424.19520000000011</v>
      </c>
      <c r="F19" t="s">
        <v>39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45839</v>
      </c>
      <c r="N19" s="6">
        <v>-424.19520000000011</v>
      </c>
      <c r="O19" t="s">
        <v>39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45839</v>
      </c>
      <c r="E20" s="6">
        <v>-2276.51424</v>
      </c>
      <c r="F20" t="s">
        <v>38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45839</v>
      </c>
      <c r="N20" s="6">
        <v>-2276.51424</v>
      </c>
      <c r="O20" t="s">
        <v>38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45870</v>
      </c>
      <c r="E21" s="6">
        <v>-378.59421600000013</v>
      </c>
      <c r="F21" t="s">
        <v>40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45870</v>
      </c>
      <c r="N21" s="6">
        <v>-378.59421600000013</v>
      </c>
      <c r="O21" t="s">
        <v>40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45870</v>
      </c>
      <c r="E22" s="6">
        <v>-2031.7889592000006</v>
      </c>
      <c r="F22" t="s">
        <v>41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45870</v>
      </c>
      <c r="N22" s="6">
        <v>-2031.7889592000006</v>
      </c>
      <c r="O22" t="s">
        <v>41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45901</v>
      </c>
      <c r="E23" s="6">
        <v>-356.96026080000013</v>
      </c>
      <c r="F23" t="s">
        <v>42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45901</v>
      </c>
      <c r="N23" s="6">
        <v>-356.96026080000013</v>
      </c>
      <c r="O23" t="s">
        <v>42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45931</v>
      </c>
      <c r="E24" s="6">
        <v>-1915.6867329600007</v>
      </c>
      <c r="F24" t="s">
        <v>43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45931</v>
      </c>
      <c r="N24" s="6">
        <v>-1915.6867329600007</v>
      </c>
      <c r="O24" t="s">
        <v>43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45931</v>
      </c>
      <c r="E25" s="6">
        <v>-335.32630560000013</v>
      </c>
      <c r="F25" t="s">
        <v>44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45931</v>
      </c>
      <c r="N25" s="6">
        <v>-335.32630560000013</v>
      </c>
      <c r="O25" t="s">
        <v>44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45931</v>
      </c>
      <c r="E26" s="6">
        <v>-1799.5845067200003</v>
      </c>
      <c r="F26" t="s">
        <v>43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45931</v>
      </c>
      <c r="N26" s="6">
        <v>-1799.5845067200003</v>
      </c>
      <c r="O26" t="s">
        <v>43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45962</v>
      </c>
      <c r="E27" s="6">
        <v>-411.04514880000011</v>
      </c>
      <c r="F27" t="s">
        <v>45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45962</v>
      </c>
      <c r="N27" s="6">
        <v>-411.04514880000011</v>
      </c>
      <c r="O27" t="s">
        <v>45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45992</v>
      </c>
      <c r="E28" s="6">
        <v>-2205.9422985600004</v>
      </c>
      <c r="F28" t="s">
        <v>46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45992</v>
      </c>
      <c r="N28" s="6">
        <v>-2205.9422985600004</v>
      </c>
      <c r="O28" t="s">
        <v>46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45992</v>
      </c>
      <c r="E29" s="6">
        <v>-540.84888000000012</v>
      </c>
      <c r="F29" t="s">
        <v>47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45992</v>
      </c>
      <c r="N29" s="6">
        <v>-540.84888000000012</v>
      </c>
      <c r="O29" t="s">
        <v>47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-2902.5556560000005</v>
      </c>
      <c r="F30" t="s">
        <v>46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-2902.5556560000005</v>
      </c>
      <c r="O30" t="s">
        <v>46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-4125</v>
      </c>
      <c r="F31" t="s">
        <v>48</v>
      </c>
      <c r="G31" t="s">
        <v>49</v>
      </c>
      <c r="H31" t="s">
        <v>29</v>
      </c>
      <c r="J31" t="s">
        <v>26</v>
      </c>
      <c r="K31" t="s">
        <v>26</v>
      </c>
      <c r="L31" t="s">
        <v>26</v>
      </c>
      <c r="M31" s="7">
        <v>45689</v>
      </c>
      <c r="N31" s="6">
        <v>-4125</v>
      </c>
      <c r="O31" t="s">
        <v>52</v>
      </c>
      <c r="P31" t="s">
        <v>49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-2970.0000000000005</v>
      </c>
      <c r="F32" t="s">
        <v>48</v>
      </c>
      <c r="G32" t="s">
        <v>49</v>
      </c>
      <c r="H32" t="s">
        <v>29</v>
      </c>
      <c r="J32" t="s">
        <v>26</v>
      </c>
      <c r="K32" t="s">
        <v>26</v>
      </c>
      <c r="L32" t="s">
        <v>26</v>
      </c>
      <c r="M32" s="7">
        <v>45717</v>
      </c>
      <c r="N32" s="6">
        <v>-2970.0000000000005</v>
      </c>
      <c r="O32" t="s">
        <v>53</v>
      </c>
      <c r="P32" t="s">
        <v>49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-4588.6500000000005</v>
      </c>
      <c r="F33" t="s">
        <v>48</v>
      </c>
      <c r="G33" t="s">
        <v>49</v>
      </c>
      <c r="H33" t="s">
        <v>29</v>
      </c>
      <c r="J33" t="s">
        <v>26</v>
      </c>
      <c r="K33" t="s">
        <v>26</v>
      </c>
      <c r="L33" t="s">
        <v>26</v>
      </c>
      <c r="M33" s="7">
        <v>45748</v>
      </c>
      <c r="N33" s="6">
        <v>-4588.6500000000005</v>
      </c>
      <c r="O33" t="s">
        <v>54</v>
      </c>
      <c r="P33" t="s">
        <v>49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-3229.0500000000006</v>
      </c>
      <c r="F34" t="s">
        <v>48</v>
      </c>
      <c r="G34" t="s">
        <v>49</v>
      </c>
      <c r="H34" t="s">
        <v>29</v>
      </c>
      <c r="J34" t="s">
        <v>26</v>
      </c>
      <c r="K34" t="s">
        <v>26</v>
      </c>
      <c r="L34" t="s">
        <v>26</v>
      </c>
      <c r="M34" s="7">
        <v>45778</v>
      </c>
      <c r="N34" s="6">
        <v>-3229.0500000000006</v>
      </c>
      <c r="O34" t="s">
        <v>55</v>
      </c>
      <c r="P34" t="s">
        <v>49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-4065.2040000000015</v>
      </c>
      <c r="F35" t="s">
        <v>48</v>
      </c>
      <c r="G35" t="s">
        <v>49</v>
      </c>
      <c r="H35" t="s">
        <v>29</v>
      </c>
      <c r="J35" t="s">
        <v>26</v>
      </c>
      <c r="K35" t="s">
        <v>26</v>
      </c>
      <c r="L35" t="s">
        <v>26</v>
      </c>
      <c r="M35" s="7">
        <v>45809</v>
      </c>
      <c r="N35" s="6">
        <v>-4065.2040000000015</v>
      </c>
      <c r="O35" t="s">
        <v>56</v>
      </c>
      <c r="P35" t="s">
        <v>49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-3888.4560000000015</v>
      </c>
      <c r="F36" t="s">
        <v>48</v>
      </c>
      <c r="G36" t="s">
        <v>49</v>
      </c>
      <c r="H36" t="s">
        <v>29</v>
      </c>
      <c r="J36" t="s">
        <v>26</v>
      </c>
      <c r="K36" t="s">
        <v>26</v>
      </c>
      <c r="L36" t="s">
        <v>26</v>
      </c>
      <c r="M36" s="7">
        <v>45839</v>
      </c>
      <c r="N36" s="6">
        <v>-3888.4560000000015</v>
      </c>
      <c r="O36" t="s">
        <v>57</v>
      </c>
      <c r="P36" t="s">
        <v>49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-7069.9200000000019</v>
      </c>
      <c r="F37" t="s">
        <v>48</v>
      </c>
      <c r="G37" t="s">
        <v>49</v>
      </c>
      <c r="H37" t="s">
        <v>29</v>
      </c>
      <c r="J37" t="s">
        <v>26</v>
      </c>
      <c r="K37" t="s">
        <v>26</v>
      </c>
      <c r="L37" t="s">
        <v>26</v>
      </c>
      <c r="M37" s="7">
        <v>45870</v>
      </c>
      <c r="N37" s="6">
        <v>-7069.9200000000019</v>
      </c>
      <c r="O37" t="s">
        <v>58</v>
      </c>
      <c r="P37" t="s">
        <v>49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-6309.9036000000024</v>
      </c>
      <c r="F38" t="s">
        <v>48</v>
      </c>
      <c r="G38" t="s">
        <v>49</v>
      </c>
      <c r="H38" t="s">
        <v>29</v>
      </c>
      <c r="J38" t="s">
        <v>26</v>
      </c>
      <c r="K38" t="s">
        <v>26</v>
      </c>
      <c r="L38" t="s">
        <v>26</v>
      </c>
      <c r="M38" s="7">
        <v>45901</v>
      </c>
      <c r="N38" s="6">
        <v>-6309.9036000000024</v>
      </c>
      <c r="O38" t="s">
        <v>59</v>
      </c>
      <c r="P38" t="s">
        <v>49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-5949.3376800000024</v>
      </c>
      <c r="F39" t="s">
        <v>48</v>
      </c>
      <c r="G39" t="s">
        <v>49</v>
      </c>
      <c r="H39" t="s">
        <v>29</v>
      </c>
      <c r="J39" t="s">
        <v>26</v>
      </c>
      <c r="K39" t="s">
        <v>26</v>
      </c>
      <c r="L39" t="s">
        <v>26</v>
      </c>
      <c r="M39" s="7">
        <v>45931</v>
      </c>
      <c r="N39" s="6">
        <v>-5949.3376800000024</v>
      </c>
      <c r="O39" t="s">
        <v>60</v>
      </c>
      <c r="P39" t="s">
        <v>49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-5588.7717600000024</v>
      </c>
      <c r="F40" t="s">
        <v>48</v>
      </c>
      <c r="G40" t="s">
        <v>49</v>
      </c>
      <c r="H40" t="s">
        <v>29</v>
      </c>
      <c r="J40" t="s">
        <v>26</v>
      </c>
      <c r="K40" t="s">
        <v>26</v>
      </c>
      <c r="L40" t="s">
        <v>26</v>
      </c>
      <c r="M40" s="7">
        <v>45962</v>
      </c>
      <c r="N40" s="6">
        <v>-5588.7717600000024</v>
      </c>
      <c r="O40" t="s">
        <v>61</v>
      </c>
      <c r="P40" t="s">
        <v>49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-6850.7524800000019</v>
      </c>
      <c r="F41" t="s">
        <v>48</v>
      </c>
      <c r="G41" t="s">
        <v>49</v>
      </c>
      <c r="H41" t="s">
        <v>29</v>
      </c>
      <c r="J41" t="s">
        <v>26</v>
      </c>
      <c r="K41" t="s">
        <v>26</v>
      </c>
      <c r="L41" t="s">
        <v>26</v>
      </c>
      <c r="M41" s="7">
        <v>45992</v>
      </c>
      <c r="N41" s="6">
        <v>-6850.7524800000019</v>
      </c>
      <c r="O41" t="s">
        <v>62</v>
      </c>
      <c r="P41" t="s">
        <v>49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-9014.1480000000029</v>
      </c>
      <c r="F42" t="s">
        <v>48</v>
      </c>
      <c r="G42" t="s">
        <v>49</v>
      </c>
      <c r="H42" t="s">
        <v>29</v>
      </c>
      <c r="J42" t="s">
        <v>26</v>
      </c>
      <c r="K42" t="s">
        <v>26</v>
      </c>
      <c r="L42" t="s">
        <v>26</v>
      </c>
      <c r="M42" s="7">
        <v>46023</v>
      </c>
      <c r="N42" s="6">
        <v>-9014.1480000000029</v>
      </c>
      <c r="O42" t="s">
        <v>63</v>
      </c>
      <c r="P42" t="s">
        <v>49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-5775.0000000000009</v>
      </c>
      <c r="F43" t="s">
        <v>50</v>
      </c>
      <c r="G43" t="s">
        <v>51</v>
      </c>
      <c r="H43" t="s">
        <v>29</v>
      </c>
      <c r="J43" t="s">
        <v>26</v>
      </c>
      <c r="K43" t="s">
        <v>26</v>
      </c>
      <c r="L43" t="s">
        <v>26</v>
      </c>
      <c r="M43" s="7">
        <v>45689</v>
      </c>
      <c r="N43" s="6">
        <v>-5775.0000000000009</v>
      </c>
      <c r="O43" t="s">
        <v>64</v>
      </c>
      <c r="P43" t="s">
        <v>51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-4158.0000000000009</v>
      </c>
      <c r="F44" t="s">
        <v>50</v>
      </c>
      <c r="G44" t="s">
        <v>51</v>
      </c>
      <c r="H44" t="s">
        <v>29</v>
      </c>
      <c r="J44" t="s">
        <v>26</v>
      </c>
      <c r="K44" t="s">
        <v>26</v>
      </c>
      <c r="L44" t="s">
        <v>26</v>
      </c>
      <c r="M44" s="7">
        <v>45717</v>
      </c>
      <c r="N44" s="6">
        <v>-4158.0000000000009</v>
      </c>
      <c r="O44" t="s">
        <v>65</v>
      </c>
      <c r="P44" t="s">
        <v>51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-6424.1100000000015</v>
      </c>
      <c r="F45" t="s">
        <v>50</v>
      </c>
      <c r="G45" t="s">
        <v>51</v>
      </c>
      <c r="H45" t="s">
        <v>29</v>
      </c>
      <c r="J45" t="s">
        <v>26</v>
      </c>
      <c r="K45" t="s">
        <v>26</v>
      </c>
      <c r="L45" t="s">
        <v>26</v>
      </c>
      <c r="M45" s="7">
        <v>45748</v>
      </c>
      <c r="N45" s="6">
        <v>-6424.1100000000015</v>
      </c>
      <c r="O45" t="s">
        <v>66</v>
      </c>
      <c r="P45" t="s">
        <v>51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-4520.670000000001</v>
      </c>
      <c r="F46" t="s">
        <v>50</v>
      </c>
      <c r="G46" t="s">
        <v>51</v>
      </c>
      <c r="H46" t="s">
        <v>29</v>
      </c>
      <c r="J46" t="s">
        <v>26</v>
      </c>
      <c r="K46" t="s">
        <v>26</v>
      </c>
      <c r="L46" t="s">
        <v>26</v>
      </c>
      <c r="M46" s="7">
        <v>45778</v>
      </c>
      <c r="N46" s="6">
        <v>-4520.670000000001</v>
      </c>
      <c r="O46" t="s">
        <v>67</v>
      </c>
      <c r="P46" t="s">
        <v>51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-5691.2856000000029</v>
      </c>
      <c r="F47" t="s">
        <v>50</v>
      </c>
      <c r="G47" t="s">
        <v>51</v>
      </c>
      <c r="H47" t="s">
        <v>29</v>
      </c>
      <c r="J47" t="s">
        <v>26</v>
      </c>
      <c r="K47" t="s">
        <v>26</v>
      </c>
      <c r="L47" t="s">
        <v>26</v>
      </c>
      <c r="M47" s="7">
        <v>45809</v>
      </c>
      <c r="N47" s="6">
        <v>-5691.2856000000029</v>
      </c>
      <c r="O47" t="s">
        <v>68</v>
      </c>
      <c r="P47" t="s">
        <v>51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-5443.8384000000024</v>
      </c>
      <c r="F48" t="s">
        <v>50</v>
      </c>
      <c r="G48" t="s">
        <v>51</v>
      </c>
      <c r="H48" t="s">
        <v>29</v>
      </c>
      <c r="J48" t="s">
        <v>26</v>
      </c>
      <c r="K48" t="s">
        <v>26</v>
      </c>
      <c r="L48" t="s">
        <v>26</v>
      </c>
      <c r="M48" s="7">
        <v>45839</v>
      </c>
      <c r="N48" s="6">
        <v>-5443.8384000000024</v>
      </c>
      <c r="O48" t="s">
        <v>69</v>
      </c>
      <c r="P48" t="s">
        <v>51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-9897.8880000000026</v>
      </c>
      <c r="F49" t="s">
        <v>50</v>
      </c>
      <c r="G49" t="s">
        <v>51</v>
      </c>
      <c r="H49" t="s">
        <v>29</v>
      </c>
      <c r="J49" t="s">
        <v>26</v>
      </c>
      <c r="K49" t="s">
        <v>26</v>
      </c>
      <c r="L49" t="s">
        <v>26</v>
      </c>
      <c r="M49" s="7">
        <v>45870</v>
      </c>
      <c r="N49" s="6">
        <v>-9897.8880000000026</v>
      </c>
      <c r="O49" t="s">
        <v>70</v>
      </c>
      <c r="P49" t="s">
        <v>51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-8833.8650400000042</v>
      </c>
      <c r="F50" t="s">
        <v>50</v>
      </c>
      <c r="G50" t="s">
        <v>51</v>
      </c>
      <c r="H50" t="s">
        <v>29</v>
      </c>
      <c r="J50" t="s">
        <v>26</v>
      </c>
      <c r="K50" t="s">
        <v>26</v>
      </c>
      <c r="L50" t="s">
        <v>26</v>
      </c>
      <c r="M50" s="7">
        <v>45901</v>
      </c>
      <c r="N50" s="6">
        <v>-8833.8650400000042</v>
      </c>
      <c r="O50" t="s">
        <v>71</v>
      </c>
      <c r="P50" t="s">
        <v>51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-8329.0727520000037</v>
      </c>
      <c r="F51" t="s">
        <v>50</v>
      </c>
      <c r="G51" t="s">
        <v>51</v>
      </c>
      <c r="H51" t="s">
        <v>29</v>
      </c>
      <c r="J51" t="s">
        <v>26</v>
      </c>
      <c r="K51" t="s">
        <v>26</v>
      </c>
      <c r="L51" t="s">
        <v>26</v>
      </c>
      <c r="M51" s="7">
        <v>45931</v>
      </c>
      <c r="N51" s="6">
        <v>-8329.0727520000037</v>
      </c>
      <c r="O51" t="s">
        <v>72</v>
      </c>
      <c r="P51" t="s">
        <v>51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-7824.2804640000031</v>
      </c>
      <c r="F52" t="s">
        <v>50</v>
      </c>
      <c r="G52" t="s">
        <v>51</v>
      </c>
      <c r="H52" t="s">
        <v>29</v>
      </c>
      <c r="J52" t="s">
        <v>26</v>
      </c>
      <c r="K52" t="s">
        <v>26</v>
      </c>
      <c r="L52" t="s">
        <v>26</v>
      </c>
      <c r="M52" s="7">
        <v>45962</v>
      </c>
      <c r="N52" s="6">
        <v>-7824.2804640000031</v>
      </c>
      <c r="O52" t="s">
        <v>73</v>
      </c>
      <c r="P52" t="s">
        <v>51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-9591.0534720000032</v>
      </c>
      <c r="F53" t="s">
        <v>50</v>
      </c>
      <c r="G53" t="s">
        <v>51</v>
      </c>
      <c r="H53" t="s">
        <v>29</v>
      </c>
      <c r="J53" t="s">
        <v>26</v>
      </c>
      <c r="K53" t="s">
        <v>26</v>
      </c>
      <c r="L53" t="s">
        <v>26</v>
      </c>
      <c r="M53" s="7">
        <v>45992</v>
      </c>
      <c r="N53" s="6">
        <v>-9591.0534720000032</v>
      </c>
      <c r="O53" t="s">
        <v>74</v>
      </c>
      <c r="P53" t="s">
        <v>51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-12619.807200000005</v>
      </c>
      <c r="F54" t="s">
        <v>50</v>
      </c>
      <c r="G54" t="s">
        <v>51</v>
      </c>
      <c r="H54" t="s">
        <v>29</v>
      </c>
      <c r="J54" t="s">
        <v>26</v>
      </c>
      <c r="K54" t="s">
        <v>26</v>
      </c>
      <c r="L54" t="s">
        <v>26</v>
      </c>
      <c r="M54" s="7">
        <v>46023</v>
      </c>
      <c r="N54" s="6">
        <v>-12619.807200000005</v>
      </c>
      <c r="O54" t="s">
        <v>75</v>
      </c>
      <c r="P54" t="s">
        <v>51</v>
      </c>
      <c r="Q54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2024-10-18T21:38:29Z</dcterms:modified>
  <cp:category/>
  <cp:contentStatus/>
</cp:coreProperties>
</file>
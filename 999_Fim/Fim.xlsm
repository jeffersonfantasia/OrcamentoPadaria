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999_Fim/"/>
    </mc:Choice>
  </mc:AlternateContent>
  <xr:revisionPtr revIDLastSave="150" documentId="8_{3FC7CE8A-A8E3-48C6-BAED-60166CE70BF3}" xr6:coauthVersionLast="47" xr6:coauthVersionMax="47" xr10:uidLastSave="{AC0B242D-A6E4-4111-85F3-1CFD04467F82}"/>
  <bookViews>
    <workbookView xWindow="-120" yWindow="-120" windowWidth="38640" windowHeight="2112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Fim!$A$6:$I$474</definedName>
    <definedName name="DadosExternos_2" localSheetId="2" hidden="1">Fim!$K$6:$S$678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D5BBD4-58A0-4B75-BE5B-E1105F32A11C}" keepAlive="1" name="Consulta - CMV_DRE" description="Conexão com a consulta 'CMV_DRE' na pasta de trabalho." type="5" refreshedVersion="0">
    <dbPr connection="Provider=Microsoft.Mashup.OleDb.1;Data Source=$Workbook$;Location=CMV_DRE;Extended Properties=&quot;&quot;" command="SELECT * FROM [CMV_DRE]"/>
  </connection>
  <connection id="2" xr16:uid="{2A3C0C14-4DAF-44D0-A13A-C6A0615091EA}" keepAlive="1" name="Consulta - CMV_FLCX" description="Conexão com a consulta 'CMV_FLCX' na pasta de trabalho." type="5" refreshedVersion="0">
    <dbPr connection="Provider=Microsoft.Mashup.OleDb.1;Data Source=$Workbook$;Location=CMV_FLCX;Extended Properties=&quot;&quot;" command="SELECT * FROM [CMV_FLCX]"/>
  </connection>
  <connection id="3" xr16:uid="{B3A45CCD-9625-44B4-BCFB-767A8833A39B}" keepAlive="1" name="Consulta - DespFixa_DRE" description="Conexão com a consulta 'DespFixa_DRE' na pasta de trabalho." type="5" refreshedVersion="0">
    <dbPr connection="Provider=Microsoft.Mashup.OleDb.1;Data Source=$Workbook$;Location=DespFixa_DRE;Extended Properties=&quot;&quot;" command="SELECT * FROM [DespFixa_DRE]"/>
  </connection>
  <connection id="4" xr16:uid="{EE1B751E-B5B2-4DF4-ACDE-C03C1EB70429}" keepAlive="1" name="Consulta - DespFixa_FLCX" description="Conexão com a consulta 'DespFixa_FLCX' na pasta de trabalho." type="5" refreshedVersion="0">
    <dbPr connection="Provider=Microsoft.Mashup.OleDb.1;Data Source=$Workbook$;Location=DespFixa_FLCX;Extended Properties=&quot;&quot;" command="SELECT * FROM [DespFixa_FLCX]"/>
  </connection>
  <connection id="5" xr16:uid="{9C927982-D5A6-4710-AFB4-8A7CD62EDFCB}" keepAlive="1" name="Consulta - DespVariavel_DRE" description="Conexão com a consulta 'DespVariavel_DRE' na pasta de trabalho." type="5" refreshedVersion="0">
    <dbPr connection="Provider=Microsoft.Mashup.OleDb.1;Data Source=$Workbook$;Location=DespVariavel_DRE;Extended Properties=&quot;&quot;" command="SELECT * FROM [DespVariavel_DRE]"/>
  </connection>
  <connection id="6" xr16:uid="{2C3E2CD5-24F7-4CB5-8D00-A6319730A255}" keepAlive="1" name="Consulta - DespVariavel_FLCX" description="Conexão com a consulta 'DespVariavel_FLCX' na pasta de trabalho." type="5" refreshedVersion="0">
    <dbPr connection="Provider=Microsoft.Mashup.OleDb.1;Data Source=$Workbook$;Location=DespVariavel_FLCX;Extended Properties=&quot;&quot;" command="SELECT * FROM [DespVariavel_FLCX]"/>
  </connection>
  <connection id="7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8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9" xr16:uid="{0BD37DEF-E62B-4C0F-BFFE-514B599E0280}" keepAlive="1" name="Consulta - Faturamento_DRE" description="Conexão com a consulta 'Faturamento_DRE' na pasta de trabalho." type="5" refreshedVersion="0" saveData="1">
    <dbPr connection="Provider=Microsoft.Mashup.OleDb.1;Data Source=$Workbook$;Location=Faturamento_DRE;Extended Properties=&quot;&quot;" command="SELECT * FROM [Faturamento_DRE]"/>
  </connection>
  <connection id="10" xr16:uid="{3B4AB3FB-ABEA-402B-8EC9-D93FBBE69A3B}" keepAlive="1" name="Consulta - Faturamento_FLCX" description="Conexão com a consulta 'Faturamento_FLCX' na pasta de trabalho." type="5" refreshedVersion="0" saveData="1">
    <dbPr connection="Provider=Microsoft.Mashup.OleDb.1;Data Source=$Workbook$;Location=Faturamento_FLCX;Extended Properties=&quot;&quot;" command="SELECT * FROM [Faturamento_FLCX]"/>
  </connection>
  <connection id="11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12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3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4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5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6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7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8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9" xr16:uid="{CF0993CE-33F7-4E2E-86EC-2643976C511A}" keepAlive="1" name="Consulta - PlanoContas" description="Conexão com a consulta 'PlanoContas' na pasta de trabalho." type="5" refreshedVersion="0">
    <dbPr connection="Provider=Microsoft.Mashup.OleDb.1;Data Source=$Workbook$;Location=PlanoContas;Extended Properties=&quot;&quot;" command="SELECT * FROM [PlanoContas]"/>
  </connection>
  <connection id="20" xr16:uid="{2E4C4218-F3FA-46E8-A7F0-8CB30731965D}" keepAlive="1" name="Consulta - Tab_DRE" description="Conexão com a consulta 'Tab_DRE' na pasta de trabalho." type="5" refreshedVersion="0">
    <dbPr connection="Provider=Microsoft.Mashup.OleDb.1;Data Source=$Workbook$;Location=Tab_DRE;Extended Properties=&quot;&quot;" command="SELECT * FROM [Tab_DRE]"/>
  </connection>
  <connection id="21" xr16:uid="{A81A86CE-200C-463E-B6C2-4BD101E8FE5B}" keepAlive="1" name="Consulta - Tributos_DRE" description="Conexão com a consulta 'Tributos_DRE' na pasta de trabalho." type="5" refreshedVersion="0">
    <dbPr connection="Provider=Microsoft.Mashup.OleDb.1;Data Source=$Workbook$;Location=Tributos_DRE;Extended Properties=&quot;&quot;" command="SELECT * FROM [Tributos_DRE]"/>
  </connection>
  <connection id="22" xr16:uid="{4804801B-D832-4C46-9968-774438AD6932}" keepAlive="1" name="Consulta - Tributos_FLCX" description="Conexão com a consulta 'Tributos_FLCX' na pasta de trabalho." type="5" refreshedVersion="0" saveData="1">
    <dbPr connection="Provider=Microsoft.Mashup.OleDb.1;Data Source=$Workbook$;Location=Tributos_FLCX;Extended Properties=&quot;&quot;" command="SELECT * FROM [Tributos_FLCX]"/>
  </connection>
</connections>
</file>

<file path=xl/sharedStrings.xml><?xml version="1.0" encoding="utf-8"?>
<sst xmlns="http://schemas.openxmlformats.org/spreadsheetml/2006/main" count="8016" uniqueCount="547">
  <si>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</si>
  <si>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</si>
  <si>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</si>
  <si>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</si>
  <si>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</si>
  <si>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</si>
  <si>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</si>
  <si>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</si>
  <si>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</si>
  <si>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</si>
  <si>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</si>
  <si>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</si>
  <si>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</si>
  <si>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</si>
  <si>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</si>
  <si>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</si>
  <si>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https://jcbrothers-my.sharepoint.com/personal/jefferson_lojasjckids_com_br/Documents/Cursos/OrcamentoPadaria/999_Fim</t>
  </si>
  <si>
    <t>Fim.xlsm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</si>
  <si>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</si>
  <si>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</si>
  <si>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</si>
  <si>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</si>
  <si>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</si>
  <si>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</si>
  <si>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</si>
  <si>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</si>
  <si>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ORIGEM</t>
  </si>
  <si>
    <t>1</t>
  </si>
  <si>
    <t>FATURAMENTO PREV. - PERIODO 01/2025</t>
  </si>
  <si>
    <t>3101</t>
  </si>
  <si>
    <t>99</t>
  </si>
  <si>
    <t>100_FATURAMENTO</t>
  </si>
  <si>
    <t>FATURAMENTO PREV. - PERIODO 02/2025</t>
  </si>
  <si>
    <t>FATURAMENTO PREV. - PERIODO 03/2025</t>
  </si>
  <si>
    <t>FATURAMENTO PREV. - PERIODO 04/2025</t>
  </si>
  <si>
    <t>FATURAMENTO PREV. - PERIODO 05/2025</t>
  </si>
  <si>
    <t>FATURAMENTO PREV. - PERIODO 06/2025</t>
  </si>
  <si>
    <t>FATURAMENTO PREV. - PERIODO 07/2025</t>
  </si>
  <si>
    <t>FATURAMENTO PREV. - PERIODO 08/2025</t>
  </si>
  <si>
    <t>FATURAMENTO PREV. - PERIODO 09/2025</t>
  </si>
  <si>
    <t>FATURAMENTO PREV. - PERIODO 10/2025</t>
  </si>
  <si>
    <t>FATURAMENTO PREV. - PERIODO 11/2025</t>
  </si>
  <si>
    <t>FATURAMENTO PREV. - PERIODO 12/2025</t>
  </si>
  <si>
    <t>IMPOSTOS PREV. - PERIODO 01/2025</t>
  </si>
  <si>
    <t>150_TRIBUTOS</t>
  </si>
  <si>
    <t>IMPOSTOS PREV. - PERIODO 02/2025</t>
  </si>
  <si>
    <t>IMPOSTOS PREV. - PERIODO 03/2025</t>
  </si>
  <si>
    <t>IMPOSTOS PREV. - PERIODO 04/2025</t>
  </si>
  <si>
    <t>IMPOSTOS PREV. - PERIODO 05/2025</t>
  </si>
  <si>
    <t>IMPOSTOS PREV. - PERIODO 06/2025</t>
  </si>
  <si>
    <t>IMPOSTOS PREV. - PERIODO 07/2025</t>
  </si>
  <si>
    <t>IMPOSTOS PREV. - PERIODO 08/2025</t>
  </si>
  <si>
    <t>IMPOSTOS PREV. - PERIODO 09/2025</t>
  </si>
  <si>
    <t>IMPOSTOS PREV. - PERIODO 10/2025</t>
  </si>
  <si>
    <t>IMPOSTOS PREV. - PERIODO 11/2025</t>
  </si>
  <si>
    <t>IMPOSTOS PREV. - PERIODO 12/2025</t>
  </si>
  <si>
    <t>CUSTO PREV. PROD: 2-Farinha de trigo - PERIODO 01/2025</t>
  </si>
  <si>
    <t>3110</t>
  </si>
  <si>
    <t>200_CMV</t>
  </si>
  <si>
    <t>CUSTO PREV. PROD: 2-Farinha de trigo - PERIODO 02/2025</t>
  </si>
  <si>
    <t>CUSTO PREV. PROD: 3-Água - PERIODO 01/2025</t>
  </si>
  <si>
    <t>CUSTO PREV. PROD: 3-Água - PERIODO 02/2025</t>
  </si>
  <si>
    <t>CUSTO PREV. PROD: 4-Fermento Biológico - PERIODO 01/2025</t>
  </si>
  <si>
    <t>CUSTO PREV. PROD: 5-Sal - PERIODO 01/2025</t>
  </si>
  <si>
    <t>CUSTO PREV. PROD: 6-Açúcar - PERIODO 01/2025</t>
  </si>
  <si>
    <t>CUSTO PREV. PROD: 4-Fermento Biológico - PERIODO 02/2025</t>
  </si>
  <si>
    <t>CUSTO PREV. PROD: 5-Sal - PERIODO 02/2025</t>
  </si>
  <si>
    <t>CUSTO PREV. PROD: 6-Açúcar - PERIODO 02/2025</t>
  </si>
  <si>
    <t>CUSTO PREV. PROD: 2-Farinha de trigo - PERIODO 03/2025</t>
  </si>
  <si>
    <t>CUSTO PREV. PROD: 3-Água - PERIODO 03/2025</t>
  </si>
  <si>
    <t>CUSTO PREV. PROD: 4-Fermento Biológico - PERIODO 03/2025</t>
  </si>
  <si>
    <t>CUSTO PREV. PROD: 5-Sal - PERIODO 03/2025</t>
  </si>
  <si>
    <t>CUSTO PREV. PROD: 6-Açúcar - PERIODO 03/2025</t>
  </si>
  <si>
    <t>CUSTO PREV. PROD: 2-Farinha de trigo - PERIODO 04/2025</t>
  </si>
  <si>
    <t>CUSTO PREV. PROD: 3-Água - PERIODO 04/2025</t>
  </si>
  <si>
    <t>CUSTO PREV. PROD: 4-Fermento Biológico - PERIODO 04/2025</t>
  </si>
  <si>
    <t>CUSTO PREV. PROD: 5-Sal - PERIODO 04/2025</t>
  </si>
  <si>
    <t>CUSTO PREV. PROD: 6-Açúcar - PERIODO 04/2025</t>
  </si>
  <si>
    <t>CUSTO PREV. PROD: 2-Farinha de trigo - PERIODO 05/2025</t>
  </si>
  <si>
    <t>CUSTO PREV. PROD: 3-Água - PERIODO 05/2025</t>
  </si>
  <si>
    <t>CUSTO PREV. PROD: 4-Fermento Biológico - PERIODO 05/2025</t>
  </si>
  <si>
    <t>CUSTO PREV. PROD: 5-Sal - PERIODO 05/2025</t>
  </si>
  <si>
    <t>CUSTO PREV. PROD: 6-Açúcar - PERIODO 05/2025</t>
  </si>
  <si>
    <t>CUSTO PREV. PROD: 2-Farinha de trigo - PERIODO 06/2025</t>
  </si>
  <si>
    <t>CUSTO PREV. PROD: 3-Água - PERIODO 06/2025</t>
  </si>
  <si>
    <t>CUSTO PREV. PROD: 4-Fermento Biológico - PERIODO 06/2025</t>
  </si>
  <si>
    <t>CUSTO PREV. PROD: 5-Sal - PERIODO 06/2025</t>
  </si>
  <si>
    <t>CUSTO PREV. PROD: 6-Açúcar - PERIODO 06/2025</t>
  </si>
  <si>
    <t>CUSTO PREV. PROD: 2-Farinha de trigo - PERIODO 07/2025</t>
  </si>
  <si>
    <t>CUSTO PREV. PROD: 3-Água - PERIODO 07/2025</t>
  </si>
  <si>
    <t>CUSTO PREV. PROD: 4-Fermento Biológico - PERIODO 07/2025</t>
  </si>
  <si>
    <t>CUSTO PREV. PROD: 5-Sal - PERIODO 07/2025</t>
  </si>
  <si>
    <t>CUSTO PREV. PROD: 6-Açúcar - PERIODO 07/2025</t>
  </si>
  <si>
    <t>CUSTO PREV. PROD: 2-Farinha de trigo - PERIODO 08/2025</t>
  </si>
  <si>
    <t>CUSTO PREV. PROD: 3-Água - PERIODO 08/2025</t>
  </si>
  <si>
    <t>CUSTO PREV. PROD: 4-Fermento Biológico - PERIODO 08/2025</t>
  </si>
  <si>
    <t>CUSTO PREV. PROD: 5-Sal - PERIODO 08/2025</t>
  </si>
  <si>
    <t>CUSTO PREV. PROD: 6-Açúcar - PERIODO 08/2025</t>
  </si>
  <si>
    <t>CUSTO PREV. PROD: 2-Farinha de trigo - PERIODO 09/2025</t>
  </si>
  <si>
    <t>CUSTO PREV. PROD: 3-Água - PERIODO 09/2025</t>
  </si>
  <si>
    <t>CUSTO PREV. PROD: 4-Fermento Biológico - PERIODO 09/2025</t>
  </si>
  <si>
    <t>CUSTO PREV. PROD: 5-Sal - PERIODO 09/2025</t>
  </si>
  <si>
    <t>CUSTO PREV. PROD: 6-Açúcar - PERIODO 09/2025</t>
  </si>
  <si>
    <t>CUSTO PREV. PROD: 2-Farinha de trigo - PERIODO 10/2025</t>
  </si>
  <si>
    <t>CUSTO PREV. PROD: 3-Água - PERIODO 10/2025</t>
  </si>
  <si>
    <t>CUSTO PREV. PROD: 4-Fermento Biológico - PERIODO 10/2025</t>
  </si>
  <si>
    <t>CUSTO PREV. PROD: 5-Sal - PERIODO 10/2025</t>
  </si>
  <si>
    <t>CUSTO PREV. PROD: 6-Açúcar - PERIODO 10/2025</t>
  </si>
  <si>
    <t>CUSTO PREV. PROD: 2-Farinha de trigo - PERIODO 11/2025</t>
  </si>
  <si>
    <t>CUSTO PREV. PROD: 3-Água - PERIODO 11/2025</t>
  </si>
  <si>
    <t>CUSTO PREV. PROD: 4-Fermento Biológico - PERIODO 11/2025</t>
  </si>
  <si>
    <t>CUSTO PREV. PROD: 5-Sal - PERIODO 11/2025</t>
  </si>
  <si>
    <t>CUSTO PREV. PROD: 6-Açúcar - PERIODO 11/2025</t>
  </si>
  <si>
    <t>CUSTO PREV. PROD: 2-Farinha de trigo - PERIODO 12/2025</t>
  </si>
  <si>
    <t>CUSTO PREV. PROD: 3-Água - PERIODO 12/2025</t>
  </si>
  <si>
    <t>CUSTO PREV. PROD: 4-Fermento Biológico - PERIODO 12/2025</t>
  </si>
  <si>
    <t>CUSTO PREV. PROD: 5-Sal - PERIODO 12/2025</t>
  </si>
  <si>
    <t>CUSTO PREV. PROD: 6-Açúcar - PERIODO 12/2025</t>
  </si>
  <si>
    <t>TAXA CARTAO DEBITO - REF RECEBIMENTO 01/2025</t>
  </si>
  <si>
    <t>3203</t>
  </si>
  <si>
    <t>250_DESP.VARIAVEL</t>
  </si>
  <si>
    <t>TAXA CARTAO DEBITO - REF RECEBIMENTO 02/2025</t>
  </si>
  <si>
    <t>TAXA CARTAO DEBITO - REF RECEBIMENTO 03/2025</t>
  </si>
  <si>
    <t>TAXA CARTAO CREDITO - REF RECEBIMENTO 01/2025</t>
  </si>
  <si>
    <t>TAXA CARTAO CREDITO - REF RECEBIMENTO 03/2025</t>
  </si>
  <si>
    <t>TAXA CARTAO DEBITO - REF RECEBIMENTO 04/2025</t>
  </si>
  <si>
    <t>TAXA CARTAO CREDITO - REF RECEBIMENTO 05/2025</t>
  </si>
  <si>
    <t>TAXA CARTAO DEBITO - REF RECEBIMENTO 05/2025</t>
  </si>
  <si>
    <t>TAXA CARTAO DEBITO - REF RECEBIMENTO 06/2025</t>
  </si>
  <si>
    <t>TAXA CARTAO CREDITO - REF RECEBIMENTO 07/2025</t>
  </si>
  <si>
    <t>TAXA CARTAO DEBITO - REF RECEBIMENTO 07/2025</t>
  </si>
  <si>
    <t>TAXA CARTAO DEBITO - REF RECEBIMENTO 08/2025</t>
  </si>
  <si>
    <t>TAXA CARTAO CREDITO - REF RECEBIMENTO 08/2025</t>
  </si>
  <si>
    <t>TAXA CARTAO DEBITO - REF RECEBIMENTO 09/2025</t>
  </si>
  <si>
    <t>TAXA CARTAO CREDITO - REF RECEBIMENTO 10/2025</t>
  </si>
  <si>
    <t>TAXA CARTAO DEBITO - REF RECEBIMENTO 10/2025</t>
  </si>
  <si>
    <t>TAXA CARTAO DEBITO - REF RECEBIMENTO 11/2025</t>
  </si>
  <si>
    <t>TAXA CARTAO CREDITO - REF RECEBIMENTO 12/2025</t>
  </si>
  <si>
    <t>TAXA CARTAO DEBITO - REF RECEBIMENTO 12/2025</t>
  </si>
  <si>
    <t>PUBLICIDADE ADS</t>
  </si>
  <si>
    <t>3207</t>
  </si>
  <si>
    <t>PERDA DE MERCADORIA</t>
  </si>
  <si>
    <t>3114</t>
  </si>
  <si>
    <t>SALÁRIOS FUNCIONÁRIOS</t>
  </si>
  <si>
    <t>3302</t>
  </si>
  <si>
    <t>300_DESP.FIXA</t>
  </si>
  <si>
    <t>VALE REFEIÇÃO</t>
  </si>
  <si>
    <t>3403</t>
  </si>
  <si>
    <t>VALE TRANSPORTE</t>
  </si>
  <si>
    <t>3404</t>
  </si>
  <si>
    <t>ASSISTÊNCIA MÉDICA E SOCIAL</t>
  </si>
  <si>
    <t>3405</t>
  </si>
  <si>
    <t>ALUGUEL DE IMÓVEL</t>
  </si>
  <si>
    <t>3450</t>
  </si>
  <si>
    <t>IPTU</t>
  </si>
  <si>
    <t>3451</t>
  </si>
  <si>
    <t>ENERGIA ELÉTRICA</t>
  </si>
  <si>
    <t>3452</t>
  </si>
  <si>
    <t>ÁGUA E ESGOTO</t>
  </si>
  <si>
    <t>3453</t>
  </si>
  <si>
    <t>SEGURO PREDIAL</t>
  </si>
  <si>
    <t>3454</t>
  </si>
  <si>
    <t>TELEFONIA</t>
  </si>
  <si>
    <t>3455</t>
  </si>
  <si>
    <t>INTERNET</t>
  </si>
  <si>
    <t>3456</t>
  </si>
  <si>
    <t>MANUTENÇÃO PREDIAL</t>
  </si>
  <si>
    <t>3457</t>
  </si>
  <si>
    <t>ERP E SOFTWARE DE GESTÃO</t>
  </si>
  <si>
    <t>3500</t>
  </si>
  <si>
    <t>SACOS E SACOLAS</t>
  </si>
  <si>
    <t>3552</t>
  </si>
  <si>
    <t>UNIFORMES E ACESSÓRIOS</t>
  </si>
  <si>
    <t>3553</t>
  </si>
  <si>
    <t>TONERS, RIBBONS, BOBINAS E ETIQUETAS</t>
  </si>
  <si>
    <t>3554</t>
  </si>
  <si>
    <t>COMUNICAÇÃO AUDIOVISUAL E IMPRESSOS</t>
  </si>
  <si>
    <t>3601</t>
  </si>
  <si>
    <t>AQUISIÇÃO DE EQUIPAMENTOS DE PEQUENO VALOR</t>
  </si>
  <si>
    <t>3650</t>
  </si>
  <si>
    <t>MANUTENÇÃO DE EQUIPAMENTOS</t>
  </si>
  <si>
    <t>3651</t>
  </si>
  <si>
    <t>ALUGUEL DE EQUIPAMENTOS</t>
  </si>
  <si>
    <t>3654</t>
  </si>
  <si>
    <t>MATERIAL DE ESCRITÓRIO</t>
  </si>
  <si>
    <t>3750</t>
  </si>
  <si>
    <t>MATERIAL DE LIMPEZA</t>
  </si>
  <si>
    <t>3751</t>
  </si>
  <si>
    <t>MATERIAL DE COPA E COZINHA</t>
  </si>
  <si>
    <t>3752</t>
  </si>
  <si>
    <t>SERVIÇOS DE CONTABILIDADE</t>
  </si>
  <si>
    <t>3850</t>
  </si>
  <si>
    <t>SERVIÇOS JURÍDICOS</t>
  </si>
  <si>
    <t>3851</t>
  </si>
  <si>
    <t>SERVIÇOS DE LIMPEZA</t>
  </si>
  <si>
    <t>3853</t>
  </si>
  <si>
    <t>SERVIÇOS DE SEGURANÇA E VIGILÂNCIA</t>
  </si>
  <si>
    <t>3854</t>
  </si>
  <si>
    <t>PUBLICIDADE ADS - COMP. 01/2025</t>
  </si>
  <si>
    <t>PUBLICIDADE ADS - COMP. 02/2025</t>
  </si>
  <si>
    <t>PUBLICIDADE ADS - COMP. 03/2025</t>
  </si>
  <si>
    <t>PUBLICIDADE ADS - COMP. 04/2025</t>
  </si>
  <si>
    <t>PUBLICIDADE ADS - COMP. 05/2025</t>
  </si>
  <si>
    <t>PUBLICIDADE ADS - COMP. 06/2025</t>
  </si>
  <si>
    <t>PUBLICIDADE ADS - COMP. 07/2025</t>
  </si>
  <si>
    <t>PUBLICIDADE ADS - COMP. 08/2025</t>
  </si>
  <si>
    <t>PUBLICIDADE ADS - COMP. 09/2025</t>
  </si>
  <si>
    <t>PUBLICIDADE ADS - COMP. 10/2025</t>
  </si>
  <si>
    <t>PUBLICIDADE ADS - COMP. 11/2025</t>
  </si>
  <si>
    <t>PUBLICIDADE ADS - COMP. 12/2025</t>
  </si>
  <si>
    <t>PERDA DE MERCADORIA - COMP. 01/2025</t>
  </si>
  <si>
    <t>PERDA DE MERCADORIA - COMP. 02/2025</t>
  </si>
  <si>
    <t>PERDA DE MERCADORIA - COMP. 03/2025</t>
  </si>
  <si>
    <t>PERDA DE MERCADORIA - COMP. 04/2025</t>
  </si>
  <si>
    <t>PERDA DE MERCADORIA - COMP. 05/2025</t>
  </si>
  <si>
    <t>PERDA DE MERCADORIA - COMP. 06/2025</t>
  </si>
  <si>
    <t>PERDA DE MERCADORIA - COMP. 07/2025</t>
  </si>
  <si>
    <t>PERDA DE MERCADORIA - COMP. 08/2025</t>
  </si>
  <si>
    <t>PERDA DE MERCADORIA - COMP. 09/2025</t>
  </si>
  <si>
    <t>PERDA DE MERCADORIA - COMP. 10/2025</t>
  </si>
  <si>
    <t>PERDA DE MERCADORIA - COMP. 11/2025</t>
  </si>
  <si>
    <t>PERDA DE MERCADORIA - COMP. 12/2025</t>
  </si>
  <si>
    <t>SALÁRIOS FUNCIONÁRIOS - COMP. 01/2025</t>
  </si>
  <si>
    <t>SALÁRIOS FUNCIONÁRIOS - COMP. 02/2025</t>
  </si>
  <si>
    <t>SALÁRIOS FUNCIONÁRIOS - COMP. 03/2025</t>
  </si>
  <si>
    <t>SALÁRIOS FUNCIONÁRIOS - COMP. 04/2025</t>
  </si>
  <si>
    <t>SALÁRIOS FUNCIONÁRIOS - COMP. 05/2025</t>
  </si>
  <si>
    <t>SALÁRIOS FUNCIONÁRIOS - COMP. 06/2025</t>
  </si>
  <si>
    <t>SALÁRIOS FUNCIONÁRIOS - COMP. 07/2025</t>
  </si>
  <si>
    <t>SALÁRIOS FUNCIONÁRIOS - COMP. 08/2025</t>
  </si>
  <si>
    <t>SALÁRIOS FUNCIONÁRIOS - COMP. 09/2025</t>
  </si>
  <si>
    <t>SALÁRIOS FUNCIONÁRIOS - COMP. 10/2025</t>
  </si>
  <si>
    <t>SALÁRIOS FUNCIONÁRIOS - COMP. 11/2025</t>
  </si>
  <si>
    <t>SALÁRIOS FUNCIONÁRIOS - COMP. 12/2025</t>
  </si>
  <si>
    <t>VALE REFEIÇÃO - COMP. 01/2025</t>
  </si>
  <si>
    <t>VALE REFEIÇÃO - COMP. 02/2025</t>
  </si>
  <si>
    <t>VALE REFEIÇÃO - COMP. 03/2025</t>
  </si>
  <si>
    <t>VALE REFEIÇÃO - COMP. 04/2025</t>
  </si>
  <si>
    <t>VALE REFEIÇÃO - COMP. 05/2025</t>
  </si>
  <si>
    <t>VALE REFEIÇÃO - COMP. 06/2025</t>
  </si>
  <si>
    <t>VALE REFEIÇÃO - COMP. 07/2025</t>
  </si>
  <si>
    <t>VALE REFEIÇÃO - COMP. 08/2025</t>
  </si>
  <si>
    <t>VALE REFEIÇÃO - COMP. 09/2025</t>
  </si>
  <si>
    <t>VALE REFEIÇÃO - COMP. 10/2025</t>
  </si>
  <si>
    <t>VALE REFEIÇÃO - COMP. 11/2025</t>
  </si>
  <si>
    <t>VALE REFEIÇÃO - COMP. 12/2025</t>
  </si>
  <si>
    <t>VALE TRANSPORTE - COMP. 01/2025</t>
  </si>
  <si>
    <t>VALE TRANSPORTE - COMP. 02/2025</t>
  </si>
  <si>
    <t>VALE TRANSPORTE - COMP. 03/2025</t>
  </si>
  <si>
    <t>VALE TRANSPORTE - COMP. 04/2025</t>
  </si>
  <si>
    <t>VALE TRANSPORTE - COMP. 05/2025</t>
  </si>
  <si>
    <t>VALE TRANSPORTE - COMP. 06/2025</t>
  </si>
  <si>
    <t>VALE TRANSPORTE - COMP. 07/2025</t>
  </si>
  <si>
    <t>VALE TRANSPORTE - COMP. 08/2025</t>
  </si>
  <si>
    <t>VALE TRANSPORTE - COMP. 09/2025</t>
  </si>
  <si>
    <t>VALE TRANSPORTE - COMP. 10/2025</t>
  </si>
  <si>
    <t>VALE TRANSPORTE - COMP. 11/2025</t>
  </si>
  <si>
    <t>VALE TRANSPORTE - COMP. 12/2025</t>
  </si>
  <si>
    <t>ASSISTÊNCIA MÉDICA E SOCIAL - COMP. 01/2025</t>
  </si>
  <si>
    <t>ASSISTÊNCIA MÉDICA E SOCIAL - COMP. 02/2025</t>
  </si>
  <si>
    <t>ASSISTÊNCIA MÉDICA E SOCIAL - COMP. 03/2025</t>
  </si>
  <si>
    <t>ASSISTÊNCIA MÉDICA E SOCIAL - COMP. 04/2025</t>
  </si>
  <si>
    <t>ASSISTÊNCIA MÉDICA E SOCIAL - COMP. 05/2025</t>
  </si>
  <si>
    <t>ASSISTÊNCIA MÉDICA E SOCIAL - COMP. 06/2025</t>
  </si>
  <si>
    <t>ASSISTÊNCIA MÉDICA E SOCIAL - COMP. 07/2025</t>
  </si>
  <si>
    <t>ASSISTÊNCIA MÉDICA E SOCIAL - COMP. 08/2025</t>
  </si>
  <si>
    <t>ASSISTÊNCIA MÉDICA E SOCIAL - COMP. 09/2025</t>
  </si>
  <si>
    <t>ASSISTÊNCIA MÉDICA E SOCIAL - COMP. 10/2025</t>
  </si>
  <si>
    <t>ASSISTÊNCIA MÉDICA E SOCIAL - COMP. 11/2025</t>
  </si>
  <si>
    <t>ASSISTÊNCIA MÉDICA E SOCIAL - COMP. 12/2025</t>
  </si>
  <si>
    <t>ALUGUEL DE IMÓVEL - COMP. 01/2025</t>
  </si>
  <si>
    <t>ALUGUEL DE IMÓVEL - COMP. 02/2025</t>
  </si>
  <si>
    <t>ALUGUEL DE IMÓVEL - COMP. 03/2025</t>
  </si>
  <si>
    <t>ALUGUEL DE IMÓVEL - COMP. 04/2025</t>
  </si>
  <si>
    <t>ALUGUEL DE IMÓVEL - COMP. 05/2025</t>
  </si>
  <si>
    <t>ALUGUEL DE IMÓVEL - COMP. 06/2025</t>
  </si>
  <si>
    <t>ALUGUEL DE IMÓVEL - COMP. 07/2025</t>
  </si>
  <si>
    <t>ALUGUEL DE IMÓVEL - COMP. 08/2025</t>
  </si>
  <si>
    <t>ALUGUEL DE IMÓVEL - COMP. 09/2025</t>
  </si>
  <si>
    <t>ALUGUEL DE IMÓVEL - COMP. 10/2025</t>
  </si>
  <si>
    <t>ALUGUEL DE IMÓVEL - COMP. 11/2025</t>
  </si>
  <si>
    <t>ALUGUEL DE IMÓVEL - COMP. 12/2025</t>
  </si>
  <si>
    <t>IPTU - COMP. 01/2025</t>
  </si>
  <si>
    <t>IPTU - COMP. 02/2025</t>
  </si>
  <si>
    <t>IPTU - COMP. 03/2025</t>
  </si>
  <si>
    <t>IPTU - COMP. 04/2025</t>
  </si>
  <si>
    <t>IPTU - COMP. 05/2025</t>
  </si>
  <si>
    <t>IPTU - COMP. 06/2025</t>
  </si>
  <si>
    <t>IPTU - COMP. 07/2025</t>
  </si>
  <si>
    <t>IPTU - COMP. 08/2025</t>
  </si>
  <si>
    <t>IPTU - COMP. 09/2025</t>
  </si>
  <si>
    <t>IPTU - COMP. 10/2025</t>
  </si>
  <si>
    <t>IPTU - COMP. 11/2025</t>
  </si>
  <si>
    <t>IPTU - COMP. 12/2025</t>
  </si>
  <si>
    <t>ENERGIA ELÉTRICA - COMP. 01/2025</t>
  </si>
  <si>
    <t>ENERGIA ELÉTRICA - COMP. 02/2025</t>
  </si>
  <si>
    <t>ENERGIA ELÉTRICA - COMP. 03/2025</t>
  </si>
  <si>
    <t>ENERGIA ELÉTRICA - COMP. 04/2025</t>
  </si>
  <si>
    <t>ENERGIA ELÉTRICA - COMP. 05/2025</t>
  </si>
  <si>
    <t>ENERGIA ELÉTRICA - COMP. 06/2025</t>
  </si>
  <si>
    <t>ENERGIA ELÉTRICA - COMP. 07/2025</t>
  </si>
  <si>
    <t>ENERGIA ELÉTRICA - COMP. 08/2025</t>
  </si>
  <si>
    <t>ENERGIA ELÉTRICA - COMP. 09/2025</t>
  </si>
  <si>
    <t>ENERGIA ELÉTRICA - COMP. 10/2025</t>
  </si>
  <si>
    <t>ENERGIA ELÉTRICA - COMP. 11/2025</t>
  </si>
  <si>
    <t>ENERGIA ELÉTRICA - COMP. 12/2025</t>
  </si>
  <si>
    <t>ÁGUA E ESGOTO - COMP. 01/2025</t>
  </si>
  <si>
    <t>ÁGUA E ESGOTO - COMP. 02/2025</t>
  </si>
  <si>
    <t>ÁGUA E ESGOTO - COMP. 03/2025</t>
  </si>
  <si>
    <t>ÁGUA E ESGOTO - COMP. 04/2025</t>
  </si>
  <si>
    <t>ÁGUA E ESGOTO - COMP. 05/2025</t>
  </si>
  <si>
    <t>ÁGUA E ESGOTO - COMP. 06/2025</t>
  </si>
  <si>
    <t>ÁGUA E ESGOTO - COMP. 07/2025</t>
  </si>
  <si>
    <t>ÁGUA E ESGOTO - COMP. 08/2025</t>
  </si>
  <si>
    <t>ÁGUA E ESGOTO - COMP. 09/2025</t>
  </si>
  <si>
    <t>ÁGUA E ESGOTO - COMP. 10/2025</t>
  </si>
  <si>
    <t>ÁGUA E ESGOTO - COMP. 11/2025</t>
  </si>
  <si>
    <t>ÁGUA E ESGOTO - COMP. 12/2025</t>
  </si>
  <si>
    <t>SEGURO PREDIAL - COMP. 01/2025</t>
  </si>
  <si>
    <t>SEGURO PREDIAL - COMP. 02/2025</t>
  </si>
  <si>
    <t>SEGURO PREDIAL - COMP. 03/2025</t>
  </si>
  <si>
    <t>SEGURO PREDIAL - COMP. 04/2025</t>
  </si>
  <si>
    <t>SEGURO PREDIAL - COMP. 05/2025</t>
  </si>
  <si>
    <t>SEGURO PREDIAL - COMP. 06/2025</t>
  </si>
  <si>
    <t>SEGURO PREDIAL - COMP. 07/2025</t>
  </si>
  <si>
    <t>SEGURO PREDIAL - COMP. 08/2025</t>
  </si>
  <si>
    <t>SEGURO PREDIAL - COMP. 09/2025</t>
  </si>
  <si>
    <t>SEGURO PREDIAL - COMP. 10/2025</t>
  </si>
  <si>
    <t>SEGURO PREDIAL - COMP. 11/2025</t>
  </si>
  <si>
    <t>SEGURO PREDIAL - COMP. 12/2025</t>
  </si>
  <si>
    <t>TELEFONIA - COMP. 01/2025</t>
  </si>
  <si>
    <t>TELEFONIA - COMP. 02/2025</t>
  </si>
  <si>
    <t>TELEFONIA - COMP. 03/2025</t>
  </si>
  <si>
    <t>TELEFONIA - COMP. 04/2025</t>
  </si>
  <si>
    <t>TELEFONIA - COMP. 05/2025</t>
  </si>
  <si>
    <t>TELEFONIA - COMP. 06/2025</t>
  </si>
  <si>
    <t>TELEFONIA - COMP. 07/2025</t>
  </si>
  <si>
    <t>TELEFONIA - COMP. 08/2025</t>
  </si>
  <si>
    <t>TELEFONIA - COMP. 09/2025</t>
  </si>
  <si>
    <t>TELEFONIA - COMP. 10/2025</t>
  </si>
  <si>
    <t>TELEFONIA - COMP. 11/2025</t>
  </si>
  <si>
    <t>TELEFONIA - COMP. 12/2025</t>
  </si>
  <si>
    <t>INTERNET - COMP. 01/2025</t>
  </si>
  <si>
    <t>INTERNET - COMP. 02/2025</t>
  </si>
  <si>
    <t>INTERNET - COMP. 03/2025</t>
  </si>
  <si>
    <t>INTERNET - COMP. 04/2025</t>
  </si>
  <si>
    <t>INTERNET - COMP. 05/2025</t>
  </si>
  <si>
    <t>INTERNET - COMP. 06/2025</t>
  </si>
  <si>
    <t>INTERNET - COMP. 07/2025</t>
  </si>
  <si>
    <t>INTERNET - COMP. 08/2025</t>
  </si>
  <si>
    <t>INTERNET - COMP. 09/2025</t>
  </si>
  <si>
    <t>INTERNET - COMP. 10/2025</t>
  </si>
  <si>
    <t>INTERNET - COMP. 11/2025</t>
  </si>
  <si>
    <t>INTERNET - COMP. 12/2025</t>
  </si>
  <si>
    <t>MANUTENÇÃO PREDIAL - COMP. 01/2025</t>
  </si>
  <si>
    <t>MANUTENÇÃO PREDIAL - COMP. 02/2025</t>
  </si>
  <si>
    <t>MANUTENÇÃO PREDIAL - COMP. 03/2025</t>
  </si>
  <si>
    <t>MANUTENÇÃO PREDIAL - COMP. 04/2025</t>
  </si>
  <si>
    <t>MANUTENÇÃO PREDIAL - COMP. 05/2025</t>
  </si>
  <si>
    <t>MANUTENÇÃO PREDIAL - COMP. 06/2025</t>
  </si>
  <si>
    <t>MANUTENÇÃO PREDIAL - COMP. 07/2025</t>
  </si>
  <si>
    <t>MANUTENÇÃO PREDIAL - COMP. 08/2025</t>
  </si>
  <si>
    <t>MANUTENÇÃO PREDIAL - COMP. 09/2025</t>
  </si>
  <si>
    <t>MANUTENÇÃO PREDIAL - COMP. 10/2025</t>
  </si>
  <si>
    <t>MANUTENÇÃO PREDIAL - COMP. 11/2025</t>
  </si>
  <si>
    <t>MANUTENÇÃO PREDIAL - COMP. 12/2025</t>
  </si>
  <si>
    <t>ERP E SOFTWARE DE GESTÃO - COMP. 01/2025</t>
  </si>
  <si>
    <t>ERP E SOFTWARE DE GESTÃO - COMP. 02/2025</t>
  </si>
  <si>
    <t>ERP E SOFTWARE DE GESTÃO - COMP. 03/2025</t>
  </si>
  <si>
    <t>ERP E SOFTWARE DE GESTÃO - COMP. 04/2025</t>
  </si>
  <si>
    <t>ERP E SOFTWARE DE GESTÃO - COMP. 05/2025</t>
  </si>
  <si>
    <t>ERP E SOFTWARE DE GESTÃO - COMP. 06/2025</t>
  </si>
  <si>
    <t>ERP E SOFTWARE DE GESTÃO - COMP. 07/2025</t>
  </si>
  <si>
    <t>ERP E SOFTWARE DE GESTÃO - COMP. 08/2025</t>
  </si>
  <si>
    <t>ERP E SOFTWARE DE GESTÃO - COMP. 09/2025</t>
  </si>
  <si>
    <t>ERP E SOFTWARE DE GESTÃO - COMP. 10/2025</t>
  </si>
  <si>
    <t>ERP E SOFTWARE DE GESTÃO - COMP. 11/2025</t>
  </si>
  <si>
    <t>ERP E SOFTWARE DE GESTÃO - COMP. 12/2025</t>
  </si>
  <si>
    <t>SACOS E SACOLAS - COMP. 01/2025</t>
  </si>
  <si>
    <t>SACOS E SACOLAS - COMP. 02/2025</t>
  </si>
  <si>
    <t>SACOS E SACOLAS - COMP. 03/2025</t>
  </si>
  <si>
    <t>SACOS E SACOLAS - COMP. 04/2025</t>
  </si>
  <si>
    <t>SACOS E SACOLAS - COMP. 05/2025</t>
  </si>
  <si>
    <t>SACOS E SACOLAS - COMP. 06/2025</t>
  </si>
  <si>
    <t>SACOS E SACOLAS - COMP. 07/2025</t>
  </si>
  <si>
    <t>SACOS E SACOLAS - COMP. 08/2025</t>
  </si>
  <si>
    <t>SACOS E SACOLAS - COMP. 09/2025</t>
  </si>
  <si>
    <t>SACOS E SACOLAS - COMP. 10/2025</t>
  </si>
  <si>
    <t>SACOS E SACOLAS - COMP. 11/2025</t>
  </si>
  <si>
    <t>SACOS E SACOLAS - COMP. 12/2025</t>
  </si>
  <si>
    <t>UNIFORMES E ACESSÓRIOS - COMP. 01/2025</t>
  </si>
  <si>
    <t>UNIFORMES E ACESSÓRIOS - COMP. 02/2025</t>
  </si>
  <si>
    <t>UNIFORMES E ACESSÓRIOS - COMP. 03/2025</t>
  </si>
  <si>
    <t>UNIFORMES E ACESSÓRIOS - COMP. 04/2025</t>
  </si>
  <si>
    <t>UNIFORMES E ACESSÓRIOS - COMP. 05/2025</t>
  </si>
  <si>
    <t>UNIFORMES E ACESSÓRIOS - COMP. 06/2025</t>
  </si>
  <si>
    <t>UNIFORMES E ACESSÓRIOS - COMP. 07/2025</t>
  </si>
  <si>
    <t>UNIFORMES E ACESSÓRIOS - COMP. 08/2025</t>
  </si>
  <si>
    <t>UNIFORMES E ACESSÓRIOS - COMP. 09/2025</t>
  </si>
  <si>
    <t>UNIFORMES E ACESSÓRIOS - COMP. 10/2025</t>
  </si>
  <si>
    <t>UNIFORMES E ACESSÓRIOS - COMP. 11/2025</t>
  </si>
  <si>
    <t>UNIFORMES E ACESSÓRIOS - COMP. 12/2025</t>
  </si>
  <si>
    <t>TONERS, RIBBONS, BOBINAS E ETIQUETAS - COMP. 01/2025</t>
  </si>
  <si>
    <t>TONERS, RIBBONS, BOBINAS E ETIQUETAS - COMP. 02/2025</t>
  </si>
  <si>
    <t>TONERS, RIBBONS, BOBINAS E ETIQUETAS - COMP. 03/2025</t>
  </si>
  <si>
    <t>TONERS, RIBBONS, BOBINAS E ETIQUETAS - COMP. 04/2025</t>
  </si>
  <si>
    <t>TONERS, RIBBONS, BOBINAS E ETIQUETAS - COMP. 05/2025</t>
  </si>
  <si>
    <t>TONERS, RIBBONS, BOBINAS E ETIQUETAS - COMP. 06/2025</t>
  </si>
  <si>
    <t>TONERS, RIBBONS, BOBINAS E ETIQUETAS - COMP. 07/2025</t>
  </si>
  <si>
    <t>TONERS, RIBBONS, BOBINAS E ETIQUETAS - COMP. 08/2025</t>
  </si>
  <si>
    <t>TONERS, RIBBONS, BOBINAS E ETIQUETAS - COMP. 09/2025</t>
  </si>
  <si>
    <t>TONERS, RIBBONS, BOBINAS E ETIQUETAS - COMP. 10/2025</t>
  </si>
  <si>
    <t>TONERS, RIBBONS, BOBINAS E ETIQUETAS - COMP. 11/2025</t>
  </si>
  <si>
    <t>TONERS, RIBBONS, BOBINAS E ETIQUETAS - COMP. 12/2025</t>
  </si>
  <si>
    <t>COMUNICAÇÃO AUDIOVISUAL E IMPRESSOS - COMP. 01/2025</t>
  </si>
  <si>
    <t>COMUNICAÇÃO AUDIOVISUAL E IMPRESSOS - COMP. 02/2025</t>
  </si>
  <si>
    <t>COMUNICAÇÃO AUDIOVISUAL E IMPRESSOS - COMP. 03/2025</t>
  </si>
  <si>
    <t>COMUNICAÇÃO AUDIOVISUAL E IMPRESSOS - COMP. 04/2025</t>
  </si>
  <si>
    <t>COMUNICAÇÃO AUDIOVISUAL E IMPRESSOS - COMP. 05/2025</t>
  </si>
  <si>
    <t>COMUNICAÇÃO AUDIOVISUAL E IMPRESSOS - COMP. 06/2025</t>
  </si>
  <si>
    <t>COMUNICAÇÃO AUDIOVISUAL E IMPRESSOS - COMP. 07/2025</t>
  </si>
  <si>
    <t>COMUNICAÇÃO AUDIOVISUAL E IMPRESSOS - COMP. 08/2025</t>
  </si>
  <si>
    <t>COMUNICAÇÃO AUDIOVISUAL E IMPRESSOS - COMP. 09/2025</t>
  </si>
  <si>
    <t>COMUNICAÇÃO AUDIOVISUAL E IMPRESSOS - COMP. 10/2025</t>
  </si>
  <si>
    <t>COMUNICAÇÃO AUDIOVISUAL E IMPRESSOS - COMP. 11/2025</t>
  </si>
  <si>
    <t>COMUNICAÇÃO AUDIOVISUAL E IMPRESSOS - COMP. 12/2025</t>
  </si>
  <si>
    <t>AQUISIÇÃO DE EQUIPAMENTOS DE PEQUENO VALOR - COMP. 01/2025</t>
  </si>
  <si>
    <t>AQUISIÇÃO DE EQUIPAMENTOS DE PEQUENO VALOR - COMP. 02/2025</t>
  </si>
  <si>
    <t>AQUISIÇÃO DE EQUIPAMENTOS DE PEQUENO VALOR - COMP. 03/2025</t>
  </si>
  <si>
    <t>AQUISIÇÃO DE EQUIPAMENTOS DE PEQUENO VALOR - COMP. 04/2025</t>
  </si>
  <si>
    <t>AQUISIÇÃO DE EQUIPAMENTOS DE PEQUENO VALOR - COMP. 05/2025</t>
  </si>
  <si>
    <t>AQUISIÇÃO DE EQUIPAMENTOS DE PEQUENO VALOR - COMP. 06/2025</t>
  </si>
  <si>
    <t>AQUISIÇÃO DE EQUIPAMENTOS DE PEQUENO VALOR - COMP. 07/2025</t>
  </si>
  <si>
    <t>AQUISIÇÃO DE EQUIPAMENTOS DE PEQUENO VALOR - COMP. 08/2025</t>
  </si>
  <si>
    <t>AQUISIÇÃO DE EQUIPAMENTOS DE PEQUENO VALOR - COMP. 09/2025</t>
  </si>
  <si>
    <t>AQUISIÇÃO DE EQUIPAMENTOS DE PEQUENO VALOR - COMP. 10/2025</t>
  </si>
  <si>
    <t>AQUISIÇÃO DE EQUIPAMENTOS DE PEQUENO VALOR - COMP. 11/2025</t>
  </si>
  <si>
    <t>AQUISIÇÃO DE EQUIPAMENTOS DE PEQUENO VALOR - COMP. 12/2025</t>
  </si>
  <si>
    <t>MANUTENÇÃO DE EQUIPAMENTOS - COMP. 01/2025</t>
  </si>
  <si>
    <t>MANUTENÇÃO DE EQUIPAMENTOS - COMP. 02/2025</t>
  </si>
  <si>
    <t>MANUTENÇÃO DE EQUIPAMENTOS - COMP. 03/2025</t>
  </si>
  <si>
    <t>MANUTENÇÃO DE EQUIPAMENTOS - COMP. 04/2025</t>
  </si>
  <si>
    <t>MANUTENÇÃO DE EQUIPAMENTOS - COMP. 05/2025</t>
  </si>
  <si>
    <t>MANUTENÇÃO DE EQUIPAMENTOS - COMP. 06/2025</t>
  </si>
  <si>
    <t>MANUTENÇÃO DE EQUIPAMENTOS - COMP. 07/2025</t>
  </si>
  <si>
    <t>MANUTENÇÃO DE EQUIPAMENTOS - COMP. 08/2025</t>
  </si>
  <si>
    <t>MANUTENÇÃO DE EQUIPAMENTOS - COMP. 09/2025</t>
  </si>
  <si>
    <t>MANUTENÇÃO DE EQUIPAMENTOS - COMP. 10/2025</t>
  </si>
  <si>
    <t>MANUTENÇÃO DE EQUIPAMENTOS - COMP. 11/2025</t>
  </si>
  <si>
    <t>MANUTENÇÃO DE EQUIPAMENTOS - COMP. 12/2025</t>
  </si>
  <si>
    <t>ALUGUEL DE EQUIPAMENTOS - COMP. 01/2025</t>
  </si>
  <si>
    <t>ALUGUEL DE EQUIPAMENTOS - COMP. 02/2025</t>
  </si>
  <si>
    <t>ALUGUEL DE EQUIPAMENTOS - COMP. 03/2025</t>
  </si>
  <si>
    <t>ALUGUEL DE EQUIPAMENTOS - COMP. 04/2025</t>
  </si>
  <si>
    <t>ALUGUEL DE EQUIPAMENTOS - COMP. 05/2025</t>
  </si>
  <si>
    <t>ALUGUEL DE EQUIPAMENTOS - COMP. 06/2025</t>
  </si>
  <si>
    <t>ALUGUEL DE EQUIPAMENTOS - COMP. 07/2025</t>
  </si>
  <si>
    <t>ALUGUEL DE EQUIPAMENTOS - COMP. 08/2025</t>
  </si>
  <si>
    <t>ALUGUEL DE EQUIPAMENTOS - COMP. 09/2025</t>
  </si>
  <si>
    <t>ALUGUEL DE EQUIPAMENTOS - COMP. 10/2025</t>
  </si>
  <si>
    <t>ALUGUEL DE EQUIPAMENTOS - COMP. 11/2025</t>
  </si>
  <si>
    <t>ALUGUEL DE EQUIPAMENTOS - COMP. 12/2025</t>
  </si>
  <si>
    <t>MATERIAL DE ESCRITÓRIO - COMP. 01/2025</t>
  </si>
  <si>
    <t>MATERIAL DE ESCRITÓRIO - COMP. 02/2025</t>
  </si>
  <si>
    <t>MATERIAL DE ESCRITÓRIO - COMP. 03/2025</t>
  </si>
  <si>
    <t>MATERIAL DE ESCRITÓRIO - COMP. 04/2025</t>
  </si>
  <si>
    <t>MATERIAL DE ESCRITÓRIO - COMP. 05/2025</t>
  </si>
  <si>
    <t>MATERIAL DE ESCRITÓRIO - COMP. 06/2025</t>
  </si>
  <si>
    <t>MATERIAL DE ESCRITÓRIO - COMP. 07/2025</t>
  </si>
  <si>
    <t>MATERIAL DE ESCRITÓRIO - COMP. 08/2025</t>
  </si>
  <si>
    <t>MATERIAL DE ESCRITÓRIO - COMP. 09/2025</t>
  </si>
  <si>
    <t>MATERIAL DE ESCRITÓRIO - COMP. 10/2025</t>
  </si>
  <si>
    <t>MATERIAL DE ESCRITÓRIO - COMP. 11/2025</t>
  </si>
  <si>
    <t>MATERIAL DE ESCRITÓRIO - COMP. 12/2025</t>
  </si>
  <si>
    <t>MATERIAL DE LIMPEZA - COMP. 01/2025</t>
  </si>
  <si>
    <t>MATERIAL DE LIMPEZA - COMP. 02/2025</t>
  </si>
  <si>
    <t>MATERIAL DE LIMPEZA - COMP. 03/2025</t>
  </si>
  <si>
    <t>MATERIAL DE LIMPEZA - COMP. 04/2025</t>
  </si>
  <si>
    <t>MATERIAL DE LIMPEZA - COMP. 05/2025</t>
  </si>
  <si>
    <t>MATERIAL DE LIMPEZA - COMP. 06/2025</t>
  </si>
  <si>
    <t>MATERIAL DE LIMPEZA - COMP. 07/2025</t>
  </si>
  <si>
    <t>MATERIAL DE LIMPEZA - COMP. 08/2025</t>
  </si>
  <si>
    <t>MATERIAL DE LIMPEZA - COMP. 09/2025</t>
  </si>
  <si>
    <t>MATERIAL DE LIMPEZA - COMP. 10/2025</t>
  </si>
  <si>
    <t>MATERIAL DE LIMPEZA - COMP. 11/2025</t>
  </si>
  <si>
    <t>MATERIAL DE LIMPEZA - COMP. 12/2025</t>
  </si>
  <si>
    <t>MATERIAL DE COPA E COZINHA - COMP. 01/2025</t>
  </si>
  <si>
    <t>MATERIAL DE COPA E COZINHA - COMP. 02/2025</t>
  </si>
  <si>
    <t>MATERIAL DE COPA E COZINHA - COMP. 03/2025</t>
  </si>
  <si>
    <t>MATERIAL DE COPA E COZINHA - COMP. 04/2025</t>
  </si>
  <si>
    <t>MATERIAL DE COPA E COZINHA - COMP. 05/2025</t>
  </si>
  <si>
    <t>MATERIAL DE COPA E COZINHA - COMP. 06/2025</t>
  </si>
  <si>
    <t>MATERIAL DE COPA E COZINHA - COMP. 07/2025</t>
  </si>
  <si>
    <t>MATERIAL DE COPA E COZINHA - COMP. 08/2025</t>
  </si>
  <si>
    <t>MATERIAL DE COPA E COZINHA - COMP. 09/2025</t>
  </si>
  <si>
    <t>MATERIAL DE COPA E COZINHA - COMP. 10/2025</t>
  </si>
  <si>
    <t>MATERIAL DE COPA E COZINHA - COMP. 11/2025</t>
  </si>
  <si>
    <t>MATERIAL DE COPA E COZINHA - COMP. 12/2025</t>
  </si>
  <si>
    <t>SERVIÇOS DE CONTABILIDADE - COMP. 01/2025</t>
  </si>
  <si>
    <t>SERVIÇOS DE CONTABILIDADE - COMP. 02/2025</t>
  </si>
  <si>
    <t>SERVIÇOS DE CONTABILIDADE - COMP. 03/2025</t>
  </si>
  <si>
    <t>SERVIÇOS DE CONTABILIDADE - COMP. 04/2025</t>
  </si>
  <si>
    <t>SERVIÇOS DE CONTABILIDADE - COMP. 05/2025</t>
  </si>
  <si>
    <t>SERVIÇOS DE CONTABILIDADE - COMP. 06/2025</t>
  </si>
  <si>
    <t>SERVIÇOS DE CONTABILIDADE - COMP. 07/2025</t>
  </si>
  <si>
    <t>SERVIÇOS DE CONTABILIDADE - COMP. 08/2025</t>
  </si>
  <si>
    <t>SERVIÇOS DE CONTABILIDADE - COMP. 09/2025</t>
  </si>
  <si>
    <t>SERVIÇOS DE CONTABILIDADE - COMP. 10/2025</t>
  </si>
  <si>
    <t>SERVIÇOS DE CONTABILIDADE - COMP. 11/2025</t>
  </si>
  <si>
    <t>SERVIÇOS DE CONTABILIDADE - COMP. 12/2025</t>
  </si>
  <si>
    <t>SERVIÇOS JURÍDICOS - COMP. 01/2025</t>
  </si>
  <si>
    <t>SERVIÇOS JURÍDICOS - COMP. 02/2025</t>
  </si>
  <si>
    <t>SERVIÇOS JURÍDICOS - COMP. 03/2025</t>
  </si>
  <si>
    <t>SERVIÇOS JURÍDICOS - COMP. 04/2025</t>
  </si>
  <si>
    <t>SERVIÇOS JURÍDICOS - COMP. 05/2025</t>
  </si>
  <si>
    <t>SERVIÇOS JURÍDICOS - COMP. 06/2025</t>
  </si>
  <si>
    <t>SERVIÇOS JURÍDICOS - COMP. 07/2025</t>
  </si>
  <si>
    <t>SERVIÇOS JURÍDICOS - COMP. 08/2025</t>
  </si>
  <si>
    <t>SERVIÇOS JURÍDICOS - COMP. 09/2025</t>
  </si>
  <si>
    <t>SERVIÇOS JURÍDICOS - COMP. 10/2025</t>
  </si>
  <si>
    <t>SERVIÇOS JURÍDICOS - COMP. 11/2025</t>
  </si>
  <si>
    <t>SERVIÇOS JURÍDICOS - COMP. 12/2025</t>
  </si>
  <si>
    <t>SERVIÇOS DE LIMPEZA - COMP. 01/2025</t>
  </si>
  <si>
    <t>SERVIÇOS DE LIMPEZA - COMP. 02/2025</t>
  </si>
  <si>
    <t>SERVIÇOS DE LIMPEZA - COMP. 03/2025</t>
  </si>
  <si>
    <t>SERVIÇOS DE LIMPEZA - COMP. 04/2025</t>
  </si>
  <si>
    <t>SERVIÇOS DE LIMPEZA - COMP. 05/2025</t>
  </si>
  <si>
    <t>SERVIÇOS DE LIMPEZA - COMP. 06/2025</t>
  </si>
  <si>
    <t>SERVIÇOS DE LIMPEZA - COMP. 07/2025</t>
  </si>
  <si>
    <t>SERVIÇOS DE LIMPEZA - COMP. 08/2025</t>
  </si>
  <si>
    <t>SERVIÇOS DE LIMPEZA - COMP. 09/2025</t>
  </si>
  <si>
    <t>SERVIÇOS DE LIMPEZA - COMP. 10/2025</t>
  </si>
  <si>
    <t>SERVIÇOS DE LIMPEZA - COMP. 11/2025</t>
  </si>
  <si>
    <t>SERVIÇOS DE LIMPEZA - COMP. 12/2025</t>
  </si>
  <si>
    <t>SERVIÇOS DE SEGURANÇA E VIGILÂNCIA - COMP. 01/2025</t>
  </si>
  <si>
    <t>SERVIÇOS DE SEGURANÇA E VIGILÂNCIA - COMP. 02/2025</t>
  </si>
  <si>
    <t>SERVIÇOS DE SEGURANÇA E VIGILÂNCIA - COMP. 03/2025</t>
  </si>
  <si>
    <t>SERVIÇOS DE SEGURANÇA E VIGILÂNCIA - COMP. 04/2025</t>
  </si>
  <si>
    <t>SERVIÇOS DE SEGURANÇA E VIGILÂNCIA - COMP. 05/2025</t>
  </si>
  <si>
    <t>SERVIÇOS DE SEGURANÇA E VIGILÂNCIA - COMP. 06/2025</t>
  </si>
  <si>
    <t>SERVIÇOS DE SEGURANÇA E VIGILÂNCIA - COMP. 07/2025</t>
  </si>
  <si>
    <t>SERVIÇOS DE SEGURANÇA E VIGILÂNCIA - COMP. 08/2025</t>
  </si>
  <si>
    <t>SERVIÇOS DE SEGURANÇA E VIGILÂNCIA - COMP. 09/2025</t>
  </si>
  <si>
    <t>SERVIÇOS DE SEGURANÇA E VIGILÂNCIA - COMP. 10/2025</t>
  </si>
  <si>
    <t>SERVIÇOS DE SEGURANÇA E VIGILÂNCIA - COMP. 11/2025</t>
  </si>
  <si>
    <t>SERVIÇOS DE SEGURANÇA E VIGILÂNCIA - COMP. 12/2025</t>
  </si>
  <si>
    <t>3108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</si>
</sst>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m/d/yyyy"/>
    </dxf>
    <dxf>
      <numFmt numFmtId="4" formatCode="#,##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C96104C4-582A-459E-A89A-07A9AE2F0A48}" autoFormatId="16" applyNumberFormats="0" applyBorderFormats="0" applyFontFormats="0" applyPatternFormats="0" applyAlignmentFormats="0" applyWidthHeightFormats="0">
  <queryTableRefresh nextId="10">
    <queryTableFields count="9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  <queryTableField id="9" name="ORIGEM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BC45CA72-523C-4D58-A001-F600E635870B}" autoFormatId="16" applyNumberFormats="0" applyBorderFormats="0" applyFontFormats="0" applyPatternFormats="0" applyAlignmentFormats="0" applyWidthHeightFormats="0">
  <queryTableRefresh nextId="10">
    <queryTableFields count="9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  <queryTableField id="9" name="ORIGEM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94735F-0743-40B7-AC3C-9F683594C1E6}" name="DRE" displayName="DRE" ref="A6:I474" tableType="queryTable" totalsRowShown="0">
  <autoFilter ref="A6:I474" xr:uid="{3394735F-0743-40B7-AC3C-9F683594C1E6}"/>
  <tableColumns count="9">
    <tableColumn id="1" xr3:uid="{F261DA89-E437-4D56-96DC-432A85AC71A1}" uniqueName="1" name="EMPRESA" queryTableFieldId="1"/>
    <tableColumn id="2" xr3:uid="{686E7CFC-F8FB-40DD-8BF6-B158436FCA76}" uniqueName="2" name="FILIAL" queryTableFieldId="2"/>
    <tableColumn id="3" xr3:uid="{872A83D4-F901-4630-B960-0456A0B9B351}" uniqueName="3" name="NEGOCIO" queryTableFieldId="3"/>
    <tableColumn id="4" xr3:uid="{0EB779FB-07C1-43F3-BCBB-F7CBD260B334}" uniqueName="4" name="DATA" queryTableFieldId="4" dataDxfId="1"/>
    <tableColumn id="5" xr3:uid="{F2564BB8-E0ED-4DB0-B083-0FEAEEB1B350}" uniqueName="5" name="VALOR" queryTableFieldId="5" dataDxfId="0"/>
    <tableColumn id="6" xr3:uid="{2E5FB94F-E36E-4C72-BD56-A351BF4FA9D8}" uniqueName="6" name="HISTORICO" queryTableFieldId="6"/>
    <tableColumn id="7" xr3:uid="{DCE45A61-013D-4C7B-9084-F78544E756DF}" uniqueName="7" name="CONTA" queryTableFieldId="7"/>
    <tableColumn id="8" xr3:uid="{1B5426B5-30BC-4CDD-8C93-69CB3D913A88}" uniqueName="8" name="CENCUS" queryTableFieldId="8"/>
    <tableColumn id="9" xr3:uid="{5B44751C-E8A7-4CFF-922F-92B35C7755D1}" uniqueName="9" name="ORIGEM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A7666B-540A-49A4-904B-088282BF666D}" name="FLCX" displayName="FLCX" ref="K6:S678" tableType="queryTable" totalsRowShown="0">
  <autoFilter ref="K6:S678" xr:uid="{D8A7666B-540A-49A4-904B-088282BF666D}"/>
  <tableColumns count="9">
    <tableColumn id="1" xr3:uid="{35CC6DCB-7E3A-4E7E-86AA-86D5C69D20EC}" uniqueName="1" name="EMPRESA" queryTableFieldId="1"/>
    <tableColumn id="2" xr3:uid="{B799C733-7FC1-4552-A33E-15A2C9326A0F}" uniqueName="2" name="FILIAL" queryTableFieldId="2"/>
    <tableColumn id="3" xr3:uid="{4AA855D4-7C92-46C2-9799-8F818DD084F2}" uniqueName="3" name="NEGOCIO" queryTableFieldId="3"/>
    <tableColumn id="4" xr3:uid="{364D735C-7CCC-46E7-AD14-AA8E0B54FF82}" uniqueName="4" name="DATA" queryTableFieldId="4" dataDxfId="3"/>
    <tableColumn id="5" xr3:uid="{24B85A9E-BBBB-49D3-B81B-CA77DEA2D9D9}" uniqueName="5" name="VALOR" queryTableFieldId="5" dataDxfId="2"/>
    <tableColumn id="6" xr3:uid="{80601C3B-4808-4224-BA8D-3C550AFD4BAA}" uniqueName="6" name="HISTORICO" queryTableFieldId="6"/>
    <tableColumn id="7" xr3:uid="{FA443737-89CA-4A04-AD86-31369295164F}" uniqueName="7" name="CONTA" queryTableFieldId="7"/>
    <tableColumn id="8" xr3:uid="{024871E7-4A3B-40B4-B11F-C90DCA8BBF05}" uniqueName="8" name="CENCUS" queryTableFieldId="8"/>
    <tableColumn id="9" xr3:uid="{06D76752-4865-4A48-AFB4-BAA25627CB70}" uniqueName="9" name="ORIGEM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C16" sqref="C16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45583.77684027778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S678"/>
  <sheetViews>
    <sheetView showGridLines="0" workbookViewId="0">
      <selection activeCell="C2" sqref="C2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2.140625" bestFit="1" customWidth="1"/>
    <col min="4" max="4" width="10.5703125" bestFit="1" customWidth="1"/>
    <col min="5" max="5" width="10.28515625" bestFit="1" customWidth="1"/>
    <col min="6" max="6" width="55.85546875" bestFit="1" customWidth="1"/>
    <col min="7" max="7" width="9.7109375" bestFit="1" customWidth="1"/>
    <col min="8" max="8" width="11.140625" bestFit="1" customWidth="1"/>
    <col min="9" max="9" width="18.42578125" bestFit="1" customWidth="1"/>
    <col min="11" max="11" width="11.85546875" bestFit="1" customWidth="1"/>
    <col min="12" max="12" width="8.5703125" bestFit="1" customWidth="1"/>
    <col min="13" max="13" width="12.140625" bestFit="1" customWidth="1"/>
    <col min="14" max="14" width="10.5703125" bestFit="1" customWidth="1"/>
    <col min="15" max="15" width="10.28515625" bestFit="1" customWidth="1"/>
    <col min="16" max="16" width="62.28515625" bestFit="1" customWidth="1"/>
    <col min="17" max="17" width="9.7109375" bestFit="1" customWidth="1"/>
    <col min="18" max="18" width="11.140625" bestFit="1" customWidth="1"/>
    <col min="19" max="19" width="18.42578125" bestFit="1" customWidth="1"/>
  </cols>
  <sheetData>
    <row r="1" spans="1:19" x14ac:dyDescent="0.25">
      <c r="A1" s="3" t="s">
        <v>12</v>
      </c>
      <c r="B1" s="4">
        <f>SUM(DRE[VALOR])</f>
        <v>2604505.9062633659</v>
      </c>
    </row>
    <row r="2" spans="1:19" x14ac:dyDescent="0.25">
      <c r="A2" s="2" t="s">
        <v>13</v>
      </c>
      <c r="B2" s="5">
        <f>SUM(FLCX[VALOR])</f>
        <v>2604505.9062633687</v>
      </c>
    </row>
    <row r="3" spans="1:19" x14ac:dyDescent="0.25">
      <c r="B3" s="6">
        <f>B1-B2</f>
        <v>0</v>
      </c>
    </row>
    <row r="5" spans="1:19" x14ac:dyDescent="0.25">
      <c r="A5" t="s">
        <v>14</v>
      </c>
      <c r="K5" t="s">
        <v>15</v>
      </c>
    </row>
    <row r="6" spans="1:19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I6" t="s">
        <v>26</v>
      </c>
      <c r="K6" t="s">
        <v>18</v>
      </c>
      <c r="L6" t="s">
        <v>19</v>
      </c>
      <c r="M6" t="s">
        <v>20</v>
      </c>
      <c r="N6" t="s">
        <v>21</v>
      </c>
      <c r="O6" t="s">
        <v>22</v>
      </c>
      <c r="P6" t="s">
        <v>23</v>
      </c>
      <c r="Q6" t="s">
        <v>24</v>
      </c>
      <c r="R6" t="s">
        <v>25</v>
      </c>
      <c r="S6" t="s">
        <v>26</v>
      </c>
    </row>
    <row r="7" spans="1:19" x14ac:dyDescent="0.25">
      <c r="A7" t="s">
        <v>27</v>
      </c>
      <c r="B7" t="s">
        <v>27</v>
      </c>
      <c r="C7" t="s">
        <v>27</v>
      </c>
      <c r="D7" s="7">
        <v>45658</v>
      </c>
      <c r="E7" s="6">
        <v>330000</v>
      </c>
      <c r="F7" t="s">
        <v>28</v>
      </c>
      <c r="G7" t="s">
        <v>29</v>
      </c>
      <c r="H7" t="s">
        <v>30</v>
      </c>
      <c r="I7" t="s">
        <v>31</v>
      </c>
      <c r="K7" t="s">
        <v>27</v>
      </c>
      <c r="L7" t="s">
        <v>27</v>
      </c>
      <c r="M7" t="s">
        <v>27</v>
      </c>
      <c r="N7" s="7">
        <v>45658</v>
      </c>
      <c r="O7" s="6">
        <v>33000</v>
      </c>
      <c r="P7" t="s">
        <v>28</v>
      </c>
      <c r="Q7" t="s">
        <v>29</v>
      </c>
      <c r="R7" t="s">
        <v>30</v>
      </c>
      <c r="S7" t="s">
        <v>31</v>
      </c>
    </row>
    <row r="8" spans="1:19" x14ac:dyDescent="0.25">
      <c r="A8" t="s">
        <v>27</v>
      </c>
      <c r="B8" t="s">
        <v>27</v>
      </c>
      <c r="C8" t="s">
        <v>27</v>
      </c>
      <c r="D8" s="7">
        <v>45689</v>
      </c>
      <c r="E8" s="6">
        <v>237600.00000000003</v>
      </c>
      <c r="F8" t="s">
        <v>32</v>
      </c>
      <c r="G8" t="s">
        <v>29</v>
      </c>
      <c r="H8" t="s">
        <v>30</v>
      </c>
      <c r="I8" t="s">
        <v>31</v>
      </c>
      <c r="K8" t="s">
        <v>27</v>
      </c>
      <c r="L8" t="s">
        <v>27</v>
      </c>
      <c r="M8" t="s">
        <v>27</v>
      </c>
      <c r="N8" s="7">
        <v>45689</v>
      </c>
      <c r="O8" s="6">
        <v>23760.000000000004</v>
      </c>
      <c r="P8" t="s">
        <v>32</v>
      </c>
      <c r="Q8" t="s">
        <v>29</v>
      </c>
      <c r="R8" t="s">
        <v>30</v>
      </c>
      <c r="S8" t="s">
        <v>31</v>
      </c>
    </row>
    <row r="9" spans="1:19" x14ac:dyDescent="0.25">
      <c r="A9" t="s">
        <v>27</v>
      </c>
      <c r="B9" t="s">
        <v>27</v>
      </c>
      <c r="C9" t="s">
        <v>27</v>
      </c>
      <c r="D9" s="7">
        <v>45717</v>
      </c>
      <c r="E9" s="6">
        <v>367092.00000000006</v>
      </c>
      <c r="F9" t="s">
        <v>33</v>
      </c>
      <c r="G9" t="s">
        <v>29</v>
      </c>
      <c r="H9" t="s">
        <v>30</v>
      </c>
      <c r="I9" t="s">
        <v>31</v>
      </c>
      <c r="K9" t="s">
        <v>27</v>
      </c>
      <c r="L9" t="s">
        <v>27</v>
      </c>
      <c r="M9" t="s">
        <v>27</v>
      </c>
      <c r="N9" s="7">
        <v>45658</v>
      </c>
      <c r="O9" s="6">
        <v>66000</v>
      </c>
      <c r="P9" t="s">
        <v>28</v>
      </c>
      <c r="Q9" t="s">
        <v>29</v>
      </c>
      <c r="R9" t="s">
        <v>30</v>
      </c>
      <c r="S9" t="s">
        <v>31</v>
      </c>
    </row>
    <row r="10" spans="1:19" x14ac:dyDescent="0.25">
      <c r="A10" t="s">
        <v>27</v>
      </c>
      <c r="B10" t="s">
        <v>27</v>
      </c>
      <c r="C10" t="s">
        <v>27</v>
      </c>
      <c r="D10" s="7">
        <v>45748</v>
      </c>
      <c r="E10" s="6">
        <v>258324.00000000003</v>
      </c>
      <c r="F10" t="s">
        <v>34</v>
      </c>
      <c r="G10" t="s">
        <v>29</v>
      </c>
      <c r="H10" t="s">
        <v>30</v>
      </c>
      <c r="I10" t="s">
        <v>31</v>
      </c>
      <c r="K10" t="s">
        <v>27</v>
      </c>
      <c r="L10" t="s">
        <v>27</v>
      </c>
      <c r="M10" t="s">
        <v>27</v>
      </c>
      <c r="N10" s="7">
        <v>45658</v>
      </c>
      <c r="O10" s="6">
        <v>230999.99999999997</v>
      </c>
      <c r="P10" t="s">
        <v>28</v>
      </c>
      <c r="Q10" t="s">
        <v>29</v>
      </c>
      <c r="R10" t="s">
        <v>30</v>
      </c>
      <c r="S10" t="s">
        <v>31</v>
      </c>
    </row>
    <row r="11" spans="1:19" x14ac:dyDescent="0.25">
      <c r="A11" t="s">
        <v>27</v>
      </c>
      <c r="B11" t="s">
        <v>27</v>
      </c>
      <c r="C11" t="s">
        <v>27</v>
      </c>
      <c r="D11" s="7">
        <v>45778</v>
      </c>
      <c r="E11" s="6">
        <v>325216.32000000012</v>
      </c>
      <c r="F11" t="s">
        <v>35</v>
      </c>
      <c r="G11" t="s">
        <v>29</v>
      </c>
      <c r="H11" t="s">
        <v>30</v>
      </c>
      <c r="I11" t="s">
        <v>31</v>
      </c>
      <c r="K11" t="s">
        <v>27</v>
      </c>
      <c r="L11" t="s">
        <v>27</v>
      </c>
      <c r="M11" t="s">
        <v>27</v>
      </c>
      <c r="N11" s="7">
        <v>45689</v>
      </c>
      <c r="O11" s="6">
        <v>47520.000000000007</v>
      </c>
      <c r="P11" t="s">
        <v>32</v>
      </c>
      <c r="Q11" t="s">
        <v>29</v>
      </c>
      <c r="R11" t="s">
        <v>30</v>
      </c>
      <c r="S11" t="s">
        <v>31</v>
      </c>
    </row>
    <row r="12" spans="1:19" x14ac:dyDescent="0.25">
      <c r="A12" t="s">
        <v>27</v>
      </c>
      <c r="B12" t="s">
        <v>27</v>
      </c>
      <c r="C12" t="s">
        <v>27</v>
      </c>
      <c r="D12" s="7">
        <v>45809</v>
      </c>
      <c r="E12" s="6">
        <v>311076.4800000001</v>
      </c>
      <c r="F12" t="s">
        <v>36</v>
      </c>
      <c r="G12" t="s">
        <v>29</v>
      </c>
      <c r="H12" t="s">
        <v>30</v>
      </c>
      <c r="I12" t="s">
        <v>31</v>
      </c>
      <c r="K12" t="s">
        <v>27</v>
      </c>
      <c r="L12" t="s">
        <v>27</v>
      </c>
      <c r="M12" t="s">
        <v>27</v>
      </c>
      <c r="N12" s="7">
        <v>45717</v>
      </c>
      <c r="O12" s="6">
        <v>166320</v>
      </c>
      <c r="P12" t="s">
        <v>33</v>
      </c>
      <c r="Q12" t="s">
        <v>29</v>
      </c>
      <c r="R12" t="s">
        <v>30</v>
      </c>
      <c r="S12" t="s">
        <v>31</v>
      </c>
    </row>
    <row r="13" spans="1:19" x14ac:dyDescent="0.25">
      <c r="A13" t="s">
        <v>27</v>
      </c>
      <c r="B13" t="s">
        <v>27</v>
      </c>
      <c r="C13" t="s">
        <v>27</v>
      </c>
      <c r="D13" s="7">
        <v>45839</v>
      </c>
      <c r="E13" s="6">
        <v>565593.60000000009</v>
      </c>
      <c r="F13" t="s">
        <v>37</v>
      </c>
      <c r="G13" t="s">
        <v>29</v>
      </c>
      <c r="H13" t="s">
        <v>30</v>
      </c>
      <c r="I13" t="s">
        <v>31</v>
      </c>
      <c r="K13" t="s">
        <v>27</v>
      </c>
      <c r="L13" t="s">
        <v>27</v>
      </c>
      <c r="M13" t="s">
        <v>27</v>
      </c>
      <c r="N13" s="7">
        <v>45717</v>
      </c>
      <c r="O13" s="6">
        <v>36709.199999999997</v>
      </c>
      <c r="P13" t="s">
        <v>33</v>
      </c>
      <c r="Q13" t="s">
        <v>29</v>
      </c>
      <c r="R13" t="s">
        <v>30</v>
      </c>
      <c r="S13" t="s">
        <v>31</v>
      </c>
    </row>
    <row r="14" spans="1:19" x14ac:dyDescent="0.25">
      <c r="A14" t="s">
        <v>27</v>
      </c>
      <c r="B14" t="s">
        <v>27</v>
      </c>
      <c r="C14" t="s">
        <v>27</v>
      </c>
      <c r="D14" s="7">
        <v>45870</v>
      </c>
      <c r="E14" s="6">
        <v>504792.28800000018</v>
      </c>
      <c r="F14" t="s">
        <v>38</v>
      </c>
      <c r="G14" t="s">
        <v>29</v>
      </c>
      <c r="H14" t="s">
        <v>30</v>
      </c>
      <c r="I14" t="s">
        <v>31</v>
      </c>
      <c r="K14" t="s">
        <v>27</v>
      </c>
      <c r="L14" t="s">
        <v>27</v>
      </c>
      <c r="M14" t="s">
        <v>27</v>
      </c>
      <c r="N14" s="7">
        <v>45717</v>
      </c>
      <c r="O14" s="6">
        <v>73418.400000000009</v>
      </c>
      <c r="P14" t="s">
        <v>33</v>
      </c>
      <c r="Q14" t="s">
        <v>29</v>
      </c>
      <c r="R14" t="s">
        <v>30</v>
      </c>
      <c r="S14" t="s">
        <v>31</v>
      </c>
    </row>
    <row r="15" spans="1:19" x14ac:dyDescent="0.25">
      <c r="A15" t="s">
        <v>27</v>
      </c>
      <c r="B15" t="s">
        <v>27</v>
      </c>
      <c r="C15" t="s">
        <v>27</v>
      </c>
      <c r="D15" s="7">
        <v>45901</v>
      </c>
      <c r="E15" s="6">
        <v>475947.01440000016</v>
      </c>
      <c r="F15" t="s">
        <v>39</v>
      </c>
      <c r="G15" t="s">
        <v>29</v>
      </c>
      <c r="H15" t="s">
        <v>30</v>
      </c>
      <c r="I15" t="s">
        <v>31</v>
      </c>
      <c r="K15" t="s">
        <v>27</v>
      </c>
      <c r="L15" t="s">
        <v>27</v>
      </c>
      <c r="M15" t="s">
        <v>27</v>
      </c>
      <c r="N15" s="7">
        <v>45717</v>
      </c>
      <c r="O15" s="6">
        <v>256964.4</v>
      </c>
      <c r="P15" t="s">
        <v>33</v>
      </c>
      <c r="Q15" t="s">
        <v>29</v>
      </c>
      <c r="R15" t="s">
        <v>30</v>
      </c>
      <c r="S15" t="s">
        <v>31</v>
      </c>
    </row>
    <row r="16" spans="1:19" x14ac:dyDescent="0.25">
      <c r="A16" t="s">
        <v>27</v>
      </c>
      <c r="B16" t="s">
        <v>27</v>
      </c>
      <c r="C16" t="s">
        <v>27</v>
      </c>
      <c r="D16" s="7">
        <v>45931</v>
      </c>
      <c r="E16" s="6">
        <v>447101.74080000015</v>
      </c>
      <c r="F16" t="s">
        <v>40</v>
      </c>
      <c r="G16" t="s">
        <v>29</v>
      </c>
      <c r="H16" t="s">
        <v>30</v>
      </c>
      <c r="I16" t="s">
        <v>31</v>
      </c>
      <c r="K16" t="s">
        <v>27</v>
      </c>
      <c r="L16" t="s">
        <v>27</v>
      </c>
      <c r="M16" t="s">
        <v>27</v>
      </c>
      <c r="N16" s="7">
        <v>45748</v>
      </c>
      <c r="O16" s="6">
        <v>25832.400000000005</v>
      </c>
      <c r="P16" t="s">
        <v>34</v>
      </c>
      <c r="Q16" t="s">
        <v>29</v>
      </c>
      <c r="R16" t="s">
        <v>30</v>
      </c>
      <c r="S16" t="s">
        <v>31</v>
      </c>
    </row>
    <row r="17" spans="1:19" x14ac:dyDescent="0.25">
      <c r="A17" t="s">
        <v>27</v>
      </c>
      <c r="B17" t="s">
        <v>27</v>
      </c>
      <c r="C17" t="s">
        <v>27</v>
      </c>
      <c r="D17" s="7">
        <v>45962</v>
      </c>
      <c r="E17" s="6">
        <v>548060.19840000011</v>
      </c>
      <c r="F17" t="s">
        <v>41</v>
      </c>
      <c r="G17" t="s">
        <v>29</v>
      </c>
      <c r="H17" t="s">
        <v>30</v>
      </c>
      <c r="I17" t="s">
        <v>31</v>
      </c>
      <c r="K17" t="s">
        <v>27</v>
      </c>
      <c r="L17" t="s">
        <v>27</v>
      </c>
      <c r="M17" t="s">
        <v>27</v>
      </c>
      <c r="N17" s="7">
        <v>45748</v>
      </c>
      <c r="O17" s="6">
        <v>51664.80000000001</v>
      </c>
      <c r="P17" t="s">
        <v>34</v>
      </c>
      <c r="Q17" t="s">
        <v>29</v>
      </c>
      <c r="R17" t="s">
        <v>30</v>
      </c>
      <c r="S17" t="s">
        <v>31</v>
      </c>
    </row>
    <row r="18" spans="1:19" x14ac:dyDescent="0.25">
      <c r="A18" t="s">
        <v>27</v>
      </c>
      <c r="B18" t="s">
        <v>27</v>
      </c>
      <c r="C18" t="s">
        <v>27</v>
      </c>
      <c r="D18" s="7">
        <v>45992</v>
      </c>
      <c r="E18" s="6">
        <v>721131.8400000002</v>
      </c>
      <c r="F18" t="s">
        <v>42</v>
      </c>
      <c r="G18" t="s">
        <v>29</v>
      </c>
      <c r="H18" t="s">
        <v>30</v>
      </c>
      <c r="I18" t="s">
        <v>31</v>
      </c>
      <c r="K18" t="s">
        <v>27</v>
      </c>
      <c r="L18" t="s">
        <v>27</v>
      </c>
      <c r="M18" t="s">
        <v>27</v>
      </c>
      <c r="N18" s="7">
        <v>45778</v>
      </c>
      <c r="O18" s="6">
        <v>180826.8</v>
      </c>
      <c r="P18" t="s">
        <v>35</v>
      </c>
      <c r="Q18" t="s">
        <v>29</v>
      </c>
      <c r="R18" t="s">
        <v>30</v>
      </c>
      <c r="S18" t="s">
        <v>31</v>
      </c>
    </row>
    <row r="19" spans="1:19" x14ac:dyDescent="0.25">
      <c r="A19" t="s">
        <v>27</v>
      </c>
      <c r="B19" t="s">
        <v>27</v>
      </c>
      <c r="C19" t="s">
        <v>27</v>
      </c>
      <c r="D19" s="7">
        <v>45658</v>
      </c>
      <c r="E19" s="6">
        <v>-33825</v>
      </c>
      <c r="F19" t="s">
        <v>43</v>
      </c>
      <c r="G19" t="s">
        <v>546</v>
      </c>
      <c r="H19" t="s">
        <v>30</v>
      </c>
      <c r="I19" t="s">
        <v>44</v>
      </c>
      <c r="K19" t="s">
        <v>27</v>
      </c>
      <c r="L19" t="s">
        <v>27</v>
      </c>
      <c r="M19" t="s">
        <v>27</v>
      </c>
      <c r="N19" s="7">
        <v>45778</v>
      </c>
      <c r="O19" s="6">
        <v>32521.632000000012</v>
      </c>
      <c r="P19" t="s">
        <v>35</v>
      </c>
      <c r="Q19" t="s">
        <v>29</v>
      </c>
      <c r="R19" t="s">
        <v>30</v>
      </c>
      <c r="S19" t="s">
        <v>31</v>
      </c>
    </row>
    <row r="20" spans="1:19" x14ac:dyDescent="0.25">
      <c r="A20" t="s">
        <v>27</v>
      </c>
      <c r="B20" t="s">
        <v>27</v>
      </c>
      <c r="C20" t="s">
        <v>27</v>
      </c>
      <c r="D20" s="7">
        <v>45689</v>
      </c>
      <c r="E20" s="6">
        <v>-24354</v>
      </c>
      <c r="F20" t="s">
        <v>45</v>
      </c>
      <c r="G20" t="s">
        <v>546</v>
      </c>
      <c r="H20" t="s">
        <v>30</v>
      </c>
      <c r="I20" t="s">
        <v>44</v>
      </c>
      <c r="K20" t="s">
        <v>27</v>
      </c>
      <c r="L20" t="s">
        <v>27</v>
      </c>
      <c r="M20" t="s">
        <v>27</v>
      </c>
      <c r="N20" s="7">
        <v>45778</v>
      </c>
      <c r="O20" s="6">
        <v>65043.264000000025</v>
      </c>
      <c r="P20" t="s">
        <v>35</v>
      </c>
      <c r="Q20" t="s">
        <v>29</v>
      </c>
      <c r="R20" t="s">
        <v>30</v>
      </c>
      <c r="S20" t="s">
        <v>31</v>
      </c>
    </row>
    <row r="21" spans="1:19" x14ac:dyDescent="0.25">
      <c r="A21" t="s">
        <v>27</v>
      </c>
      <c r="B21" t="s">
        <v>27</v>
      </c>
      <c r="C21" t="s">
        <v>27</v>
      </c>
      <c r="D21" s="7">
        <v>45717</v>
      </c>
      <c r="E21" s="6">
        <v>-37626.93</v>
      </c>
      <c r="F21" t="s">
        <v>46</v>
      </c>
      <c r="G21" t="s">
        <v>546</v>
      </c>
      <c r="H21" t="s">
        <v>30</v>
      </c>
      <c r="I21" t="s">
        <v>44</v>
      </c>
      <c r="K21" t="s">
        <v>27</v>
      </c>
      <c r="L21" t="s">
        <v>27</v>
      </c>
      <c r="M21" t="s">
        <v>27</v>
      </c>
      <c r="N21" s="7">
        <v>45778</v>
      </c>
      <c r="O21" s="6">
        <v>227651.42400000009</v>
      </c>
      <c r="P21" t="s">
        <v>35</v>
      </c>
      <c r="Q21" t="s">
        <v>29</v>
      </c>
      <c r="R21" t="s">
        <v>30</v>
      </c>
      <c r="S21" t="s">
        <v>31</v>
      </c>
    </row>
    <row r="22" spans="1:19" x14ac:dyDescent="0.25">
      <c r="A22" t="s">
        <v>27</v>
      </c>
      <c r="B22" t="s">
        <v>27</v>
      </c>
      <c r="C22" t="s">
        <v>27</v>
      </c>
      <c r="D22" s="7">
        <v>45748</v>
      </c>
      <c r="E22" s="6">
        <v>-26478.210000000003</v>
      </c>
      <c r="F22" t="s">
        <v>47</v>
      </c>
      <c r="G22" t="s">
        <v>546</v>
      </c>
      <c r="H22" t="s">
        <v>30</v>
      </c>
      <c r="I22" t="s">
        <v>44</v>
      </c>
      <c r="K22" t="s">
        <v>27</v>
      </c>
      <c r="L22" t="s">
        <v>27</v>
      </c>
      <c r="M22" t="s">
        <v>27</v>
      </c>
      <c r="N22" s="7">
        <v>45809</v>
      </c>
      <c r="O22" s="6">
        <v>31107.648000000012</v>
      </c>
      <c r="P22" t="s">
        <v>36</v>
      </c>
      <c r="Q22" t="s">
        <v>29</v>
      </c>
      <c r="R22" t="s">
        <v>30</v>
      </c>
      <c r="S22" t="s">
        <v>31</v>
      </c>
    </row>
    <row r="23" spans="1:19" x14ac:dyDescent="0.25">
      <c r="A23" t="s">
        <v>27</v>
      </c>
      <c r="B23" t="s">
        <v>27</v>
      </c>
      <c r="C23" t="s">
        <v>27</v>
      </c>
      <c r="D23" s="7">
        <v>45778</v>
      </c>
      <c r="E23" s="6">
        <v>-33334.672800000008</v>
      </c>
      <c r="F23" t="s">
        <v>48</v>
      </c>
      <c r="G23" t="s">
        <v>546</v>
      </c>
      <c r="H23" t="s">
        <v>30</v>
      </c>
      <c r="I23" t="s">
        <v>44</v>
      </c>
      <c r="K23" t="s">
        <v>27</v>
      </c>
      <c r="L23" t="s">
        <v>27</v>
      </c>
      <c r="M23" t="s">
        <v>27</v>
      </c>
      <c r="N23" s="7">
        <v>45809</v>
      </c>
      <c r="O23" s="6">
        <v>62215.296000000024</v>
      </c>
      <c r="P23" t="s">
        <v>36</v>
      </c>
      <c r="Q23" t="s">
        <v>29</v>
      </c>
      <c r="R23" t="s">
        <v>30</v>
      </c>
      <c r="S23" t="s">
        <v>31</v>
      </c>
    </row>
    <row r="24" spans="1:19" x14ac:dyDescent="0.25">
      <c r="A24" t="s">
        <v>27</v>
      </c>
      <c r="B24" t="s">
        <v>27</v>
      </c>
      <c r="C24" t="s">
        <v>27</v>
      </c>
      <c r="D24" s="7">
        <v>45809</v>
      </c>
      <c r="E24" s="6">
        <v>-31885.339200000009</v>
      </c>
      <c r="F24" t="s">
        <v>49</v>
      </c>
      <c r="G24" t="s">
        <v>546</v>
      </c>
      <c r="H24" t="s">
        <v>30</v>
      </c>
      <c r="I24" t="s">
        <v>44</v>
      </c>
      <c r="K24" t="s">
        <v>27</v>
      </c>
      <c r="L24" t="s">
        <v>27</v>
      </c>
      <c r="M24" t="s">
        <v>27</v>
      </c>
      <c r="N24" s="7">
        <v>45839</v>
      </c>
      <c r="O24" s="6">
        <v>217753.53600000005</v>
      </c>
      <c r="P24" t="s">
        <v>37</v>
      </c>
      <c r="Q24" t="s">
        <v>29</v>
      </c>
      <c r="R24" t="s">
        <v>30</v>
      </c>
      <c r="S24" t="s">
        <v>31</v>
      </c>
    </row>
    <row r="25" spans="1:19" x14ac:dyDescent="0.25">
      <c r="A25" t="s">
        <v>27</v>
      </c>
      <c r="B25" t="s">
        <v>27</v>
      </c>
      <c r="C25" t="s">
        <v>27</v>
      </c>
      <c r="D25" s="7">
        <v>45839</v>
      </c>
      <c r="E25" s="6">
        <v>-57973.344000000005</v>
      </c>
      <c r="F25" t="s">
        <v>50</v>
      </c>
      <c r="G25" t="s">
        <v>546</v>
      </c>
      <c r="H25" t="s">
        <v>30</v>
      </c>
      <c r="I25" t="s">
        <v>44</v>
      </c>
      <c r="K25" t="s">
        <v>27</v>
      </c>
      <c r="L25" t="s">
        <v>27</v>
      </c>
      <c r="M25" t="s">
        <v>27</v>
      </c>
      <c r="N25" s="7">
        <v>45839</v>
      </c>
      <c r="O25" s="6">
        <v>56559.360000000015</v>
      </c>
      <c r="P25" t="s">
        <v>37</v>
      </c>
      <c r="Q25" t="s">
        <v>29</v>
      </c>
      <c r="R25" t="s">
        <v>30</v>
      </c>
      <c r="S25" t="s">
        <v>31</v>
      </c>
    </row>
    <row r="26" spans="1:19" x14ac:dyDescent="0.25">
      <c r="A26" t="s">
        <v>27</v>
      </c>
      <c r="B26" t="s">
        <v>27</v>
      </c>
      <c r="C26" t="s">
        <v>27</v>
      </c>
      <c r="D26" s="7">
        <v>45870</v>
      </c>
      <c r="E26" s="6">
        <v>-51741.209520000011</v>
      </c>
      <c r="F26" t="s">
        <v>51</v>
      </c>
      <c r="G26" t="s">
        <v>546</v>
      </c>
      <c r="H26" t="s">
        <v>30</v>
      </c>
      <c r="I26" t="s">
        <v>44</v>
      </c>
      <c r="K26" t="s">
        <v>27</v>
      </c>
      <c r="L26" t="s">
        <v>27</v>
      </c>
      <c r="M26" t="s">
        <v>27</v>
      </c>
      <c r="N26" s="7">
        <v>45839</v>
      </c>
      <c r="O26" s="6">
        <v>113118.72000000004</v>
      </c>
      <c r="P26" t="s">
        <v>37</v>
      </c>
      <c r="Q26" t="s">
        <v>29</v>
      </c>
      <c r="R26" t="s">
        <v>30</v>
      </c>
      <c r="S26" t="s">
        <v>31</v>
      </c>
    </row>
    <row r="27" spans="1:19" x14ac:dyDescent="0.25">
      <c r="A27" t="s">
        <v>27</v>
      </c>
      <c r="B27" t="s">
        <v>27</v>
      </c>
      <c r="C27" t="s">
        <v>27</v>
      </c>
      <c r="D27" s="7">
        <v>45901</v>
      </c>
      <c r="E27" s="6">
        <v>-48784.568976000017</v>
      </c>
      <c r="F27" t="s">
        <v>52</v>
      </c>
      <c r="G27" t="s">
        <v>546</v>
      </c>
      <c r="H27" t="s">
        <v>30</v>
      </c>
      <c r="I27" t="s">
        <v>44</v>
      </c>
      <c r="K27" t="s">
        <v>27</v>
      </c>
      <c r="L27" t="s">
        <v>27</v>
      </c>
      <c r="M27" t="s">
        <v>27</v>
      </c>
      <c r="N27" s="7">
        <v>45839</v>
      </c>
      <c r="O27" s="6">
        <v>395915.52000000002</v>
      </c>
      <c r="P27" t="s">
        <v>37</v>
      </c>
      <c r="Q27" t="s">
        <v>29</v>
      </c>
      <c r="R27" t="s">
        <v>30</v>
      </c>
      <c r="S27" t="s">
        <v>31</v>
      </c>
    </row>
    <row r="28" spans="1:19" x14ac:dyDescent="0.25">
      <c r="A28" t="s">
        <v>27</v>
      </c>
      <c r="B28" t="s">
        <v>27</v>
      </c>
      <c r="C28" t="s">
        <v>27</v>
      </c>
      <c r="D28" s="7">
        <v>45931</v>
      </c>
      <c r="E28" s="6">
        <v>-45827.928432000015</v>
      </c>
      <c r="F28" t="s">
        <v>53</v>
      </c>
      <c r="G28" t="s">
        <v>546</v>
      </c>
      <c r="H28" t="s">
        <v>30</v>
      </c>
      <c r="I28" t="s">
        <v>44</v>
      </c>
      <c r="K28" t="s">
        <v>27</v>
      </c>
      <c r="L28" t="s">
        <v>27</v>
      </c>
      <c r="M28" t="s">
        <v>27</v>
      </c>
      <c r="N28" s="7">
        <v>45870</v>
      </c>
      <c r="O28" s="6">
        <v>50479.228800000019</v>
      </c>
      <c r="P28" t="s">
        <v>38</v>
      </c>
      <c r="Q28" t="s">
        <v>29</v>
      </c>
      <c r="R28" t="s">
        <v>30</v>
      </c>
      <c r="S28" t="s">
        <v>31</v>
      </c>
    </row>
    <row r="29" spans="1:19" x14ac:dyDescent="0.25">
      <c r="A29" t="s">
        <v>27</v>
      </c>
      <c r="B29" t="s">
        <v>27</v>
      </c>
      <c r="C29" t="s">
        <v>27</v>
      </c>
      <c r="D29" s="7">
        <v>45962</v>
      </c>
      <c r="E29" s="6">
        <v>-56176.17033600001</v>
      </c>
      <c r="F29" t="s">
        <v>54</v>
      </c>
      <c r="G29" t="s">
        <v>546</v>
      </c>
      <c r="H29" t="s">
        <v>30</v>
      </c>
      <c r="I29" t="s">
        <v>44</v>
      </c>
      <c r="K29" t="s">
        <v>27</v>
      </c>
      <c r="L29" t="s">
        <v>27</v>
      </c>
      <c r="M29" t="s">
        <v>27</v>
      </c>
      <c r="N29" s="7">
        <v>45870</v>
      </c>
      <c r="O29" s="6">
        <v>100958.45760000004</v>
      </c>
      <c r="P29" t="s">
        <v>38</v>
      </c>
      <c r="Q29" t="s">
        <v>29</v>
      </c>
      <c r="R29" t="s">
        <v>30</v>
      </c>
      <c r="S29" t="s">
        <v>31</v>
      </c>
    </row>
    <row r="30" spans="1:19" x14ac:dyDescent="0.25">
      <c r="A30" t="s">
        <v>27</v>
      </c>
      <c r="B30" t="s">
        <v>27</v>
      </c>
      <c r="C30" t="s">
        <v>27</v>
      </c>
      <c r="D30" s="7">
        <v>45992</v>
      </c>
      <c r="E30" s="6">
        <v>-73916.01360000002</v>
      </c>
      <c r="F30" t="s">
        <v>55</v>
      </c>
      <c r="G30" t="s">
        <v>546</v>
      </c>
      <c r="H30" t="s">
        <v>30</v>
      </c>
      <c r="I30" t="s">
        <v>44</v>
      </c>
      <c r="K30" t="s">
        <v>27</v>
      </c>
      <c r="L30" t="s">
        <v>27</v>
      </c>
      <c r="M30" t="s">
        <v>27</v>
      </c>
      <c r="N30" s="7">
        <v>45870</v>
      </c>
      <c r="O30" s="6">
        <v>353354.60160000011</v>
      </c>
      <c r="P30" t="s">
        <v>38</v>
      </c>
      <c r="Q30" t="s">
        <v>29</v>
      </c>
      <c r="R30" t="s">
        <v>30</v>
      </c>
      <c r="S30" t="s">
        <v>31</v>
      </c>
    </row>
    <row r="31" spans="1:19" x14ac:dyDescent="0.25">
      <c r="A31" t="s">
        <v>27</v>
      </c>
      <c r="B31" t="s">
        <v>27</v>
      </c>
      <c r="C31" t="s">
        <v>27</v>
      </c>
      <c r="D31" s="7">
        <v>45658</v>
      </c>
      <c r="E31" s="6">
        <v>-19912.5</v>
      </c>
      <c r="F31" t="s">
        <v>56</v>
      </c>
      <c r="G31" t="s">
        <v>57</v>
      </c>
      <c r="H31" t="s">
        <v>30</v>
      </c>
      <c r="I31" t="s">
        <v>58</v>
      </c>
      <c r="K31" t="s">
        <v>27</v>
      </c>
      <c r="L31" t="s">
        <v>27</v>
      </c>
      <c r="M31" t="s">
        <v>27</v>
      </c>
      <c r="N31" s="7">
        <v>45901</v>
      </c>
      <c r="O31" s="6">
        <v>47594.701440000019</v>
      </c>
      <c r="P31" t="s">
        <v>39</v>
      </c>
      <c r="Q31" t="s">
        <v>29</v>
      </c>
      <c r="R31" t="s">
        <v>30</v>
      </c>
      <c r="S31" t="s">
        <v>31</v>
      </c>
    </row>
    <row r="32" spans="1:19" x14ac:dyDescent="0.25">
      <c r="A32" t="s">
        <v>27</v>
      </c>
      <c r="B32" t="s">
        <v>27</v>
      </c>
      <c r="C32" t="s">
        <v>27</v>
      </c>
      <c r="D32" s="7">
        <v>45689</v>
      </c>
      <c r="E32" s="6">
        <v>-14337</v>
      </c>
      <c r="F32" t="s">
        <v>59</v>
      </c>
      <c r="G32" t="s">
        <v>57</v>
      </c>
      <c r="H32" t="s">
        <v>30</v>
      </c>
      <c r="I32" t="s">
        <v>58</v>
      </c>
      <c r="K32" t="s">
        <v>27</v>
      </c>
      <c r="L32" t="s">
        <v>27</v>
      </c>
      <c r="M32" t="s">
        <v>27</v>
      </c>
      <c r="N32" s="7">
        <v>45901</v>
      </c>
      <c r="O32" s="6">
        <v>95189.402880000038</v>
      </c>
      <c r="P32" t="s">
        <v>39</v>
      </c>
      <c r="Q32" t="s">
        <v>29</v>
      </c>
      <c r="R32" t="s">
        <v>30</v>
      </c>
      <c r="S32" t="s">
        <v>31</v>
      </c>
    </row>
    <row r="33" spans="1:19" x14ac:dyDescent="0.25">
      <c r="A33" t="s">
        <v>27</v>
      </c>
      <c r="B33" t="s">
        <v>27</v>
      </c>
      <c r="C33" t="s">
        <v>27</v>
      </c>
      <c r="D33" s="7">
        <v>45658</v>
      </c>
      <c r="E33" s="6">
        <v>-1340</v>
      </c>
      <c r="F33" t="s">
        <v>60</v>
      </c>
      <c r="G33" t="s">
        <v>57</v>
      </c>
      <c r="H33" t="s">
        <v>30</v>
      </c>
      <c r="I33" t="s">
        <v>58</v>
      </c>
      <c r="K33" t="s">
        <v>27</v>
      </c>
      <c r="L33" t="s">
        <v>27</v>
      </c>
      <c r="M33" t="s">
        <v>27</v>
      </c>
      <c r="N33" s="7">
        <v>45931</v>
      </c>
      <c r="O33" s="6">
        <v>333162.91008000012</v>
      </c>
      <c r="P33" t="s">
        <v>40</v>
      </c>
      <c r="Q33" t="s">
        <v>29</v>
      </c>
      <c r="R33" t="s">
        <v>30</v>
      </c>
      <c r="S33" t="s">
        <v>31</v>
      </c>
    </row>
    <row r="34" spans="1:19" x14ac:dyDescent="0.25">
      <c r="A34" t="s">
        <v>27</v>
      </c>
      <c r="B34" t="s">
        <v>27</v>
      </c>
      <c r="C34" t="s">
        <v>27</v>
      </c>
      <c r="D34" s="7">
        <v>45689</v>
      </c>
      <c r="E34" s="6">
        <v>-960</v>
      </c>
      <c r="F34" t="s">
        <v>61</v>
      </c>
      <c r="G34" t="s">
        <v>57</v>
      </c>
      <c r="H34" t="s">
        <v>30</v>
      </c>
      <c r="I34" t="s">
        <v>58</v>
      </c>
      <c r="K34" t="s">
        <v>27</v>
      </c>
      <c r="L34" t="s">
        <v>27</v>
      </c>
      <c r="M34" t="s">
        <v>27</v>
      </c>
      <c r="N34" s="7">
        <v>45931</v>
      </c>
      <c r="O34" s="6">
        <v>44710.174080000019</v>
      </c>
      <c r="P34" t="s">
        <v>40</v>
      </c>
      <c r="Q34" t="s">
        <v>29</v>
      </c>
      <c r="R34" t="s">
        <v>30</v>
      </c>
      <c r="S34" t="s">
        <v>31</v>
      </c>
    </row>
    <row r="35" spans="1:19" x14ac:dyDescent="0.25">
      <c r="A35" t="s">
        <v>27</v>
      </c>
      <c r="B35" t="s">
        <v>27</v>
      </c>
      <c r="C35" t="s">
        <v>27</v>
      </c>
      <c r="D35" s="7">
        <v>45658</v>
      </c>
      <c r="E35" s="6">
        <v>-10500</v>
      </c>
      <c r="F35" t="s">
        <v>62</v>
      </c>
      <c r="G35" t="s">
        <v>57</v>
      </c>
      <c r="H35" t="s">
        <v>30</v>
      </c>
      <c r="I35" t="s">
        <v>58</v>
      </c>
      <c r="K35" t="s">
        <v>27</v>
      </c>
      <c r="L35" t="s">
        <v>27</v>
      </c>
      <c r="M35" t="s">
        <v>27</v>
      </c>
      <c r="N35" s="7">
        <v>45931</v>
      </c>
      <c r="O35" s="6">
        <v>89420.348160000038</v>
      </c>
      <c r="P35" t="s">
        <v>40</v>
      </c>
      <c r="Q35" t="s">
        <v>29</v>
      </c>
      <c r="R35" t="s">
        <v>30</v>
      </c>
      <c r="S35" t="s">
        <v>31</v>
      </c>
    </row>
    <row r="36" spans="1:19" x14ac:dyDescent="0.25">
      <c r="A36" t="s">
        <v>27</v>
      </c>
      <c r="B36" t="s">
        <v>27</v>
      </c>
      <c r="C36" t="s">
        <v>27</v>
      </c>
      <c r="D36" s="7">
        <v>45658</v>
      </c>
      <c r="E36" s="6">
        <v>-225</v>
      </c>
      <c r="F36" t="s">
        <v>63</v>
      </c>
      <c r="G36" t="s">
        <v>57</v>
      </c>
      <c r="H36" t="s">
        <v>30</v>
      </c>
      <c r="I36" t="s">
        <v>58</v>
      </c>
      <c r="K36" t="s">
        <v>27</v>
      </c>
      <c r="L36" t="s">
        <v>27</v>
      </c>
      <c r="M36" t="s">
        <v>27</v>
      </c>
      <c r="N36" s="7">
        <v>45931</v>
      </c>
      <c r="O36" s="6">
        <v>312971.21856000007</v>
      </c>
      <c r="P36" t="s">
        <v>40</v>
      </c>
      <c r="Q36" t="s">
        <v>29</v>
      </c>
      <c r="R36" t="s">
        <v>30</v>
      </c>
      <c r="S36" t="s">
        <v>31</v>
      </c>
    </row>
    <row r="37" spans="1:19" x14ac:dyDescent="0.25">
      <c r="A37" t="s">
        <v>27</v>
      </c>
      <c r="B37" t="s">
        <v>27</v>
      </c>
      <c r="C37" t="s">
        <v>27</v>
      </c>
      <c r="D37" s="7">
        <v>45658</v>
      </c>
      <c r="E37" s="6">
        <v>-225</v>
      </c>
      <c r="F37" t="s">
        <v>64</v>
      </c>
      <c r="G37" t="s">
        <v>57</v>
      </c>
      <c r="H37" t="s">
        <v>30</v>
      </c>
      <c r="I37" t="s">
        <v>58</v>
      </c>
      <c r="K37" t="s">
        <v>27</v>
      </c>
      <c r="L37" t="s">
        <v>27</v>
      </c>
      <c r="M37" t="s">
        <v>27</v>
      </c>
      <c r="N37" s="7">
        <v>45962</v>
      </c>
      <c r="O37" s="6">
        <v>54806.019840000015</v>
      </c>
      <c r="P37" t="s">
        <v>41</v>
      </c>
      <c r="Q37" t="s">
        <v>29</v>
      </c>
      <c r="R37" t="s">
        <v>30</v>
      </c>
      <c r="S37" t="s">
        <v>31</v>
      </c>
    </row>
    <row r="38" spans="1:19" x14ac:dyDescent="0.25">
      <c r="A38" t="s">
        <v>27</v>
      </c>
      <c r="B38" t="s">
        <v>27</v>
      </c>
      <c r="C38" t="s">
        <v>27</v>
      </c>
      <c r="D38" s="7">
        <v>45689</v>
      </c>
      <c r="E38" s="6">
        <v>-7560</v>
      </c>
      <c r="F38" t="s">
        <v>65</v>
      </c>
      <c r="G38" t="s">
        <v>57</v>
      </c>
      <c r="H38" t="s">
        <v>30</v>
      </c>
      <c r="I38" t="s">
        <v>58</v>
      </c>
      <c r="K38" t="s">
        <v>27</v>
      </c>
      <c r="L38" t="s">
        <v>27</v>
      </c>
      <c r="M38" t="s">
        <v>27</v>
      </c>
      <c r="N38" s="7">
        <v>45962</v>
      </c>
      <c r="O38" s="6">
        <v>109612.03968000005</v>
      </c>
      <c r="P38" t="s">
        <v>41</v>
      </c>
      <c r="Q38" t="s">
        <v>29</v>
      </c>
      <c r="R38" t="s">
        <v>30</v>
      </c>
      <c r="S38" t="s">
        <v>31</v>
      </c>
    </row>
    <row r="39" spans="1:19" x14ac:dyDescent="0.25">
      <c r="A39" t="s">
        <v>27</v>
      </c>
      <c r="B39" t="s">
        <v>27</v>
      </c>
      <c r="C39" t="s">
        <v>27</v>
      </c>
      <c r="D39" s="7">
        <v>45689</v>
      </c>
      <c r="E39" s="6">
        <v>-162.5</v>
      </c>
      <c r="F39" t="s">
        <v>66</v>
      </c>
      <c r="G39" t="s">
        <v>57</v>
      </c>
      <c r="H39" t="s">
        <v>30</v>
      </c>
      <c r="I39" t="s">
        <v>58</v>
      </c>
      <c r="K39" t="s">
        <v>27</v>
      </c>
      <c r="L39" t="s">
        <v>27</v>
      </c>
      <c r="M39" t="s">
        <v>27</v>
      </c>
      <c r="N39" s="7">
        <v>45992</v>
      </c>
      <c r="O39" s="6">
        <v>383642.13887999998</v>
      </c>
      <c r="P39" t="s">
        <v>42</v>
      </c>
      <c r="Q39" t="s">
        <v>29</v>
      </c>
      <c r="R39" t="s">
        <v>30</v>
      </c>
      <c r="S39" t="s">
        <v>31</v>
      </c>
    </row>
    <row r="40" spans="1:19" x14ac:dyDescent="0.25">
      <c r="A40" t="s">
        <v>27</v>
      </c>
      <c r="B40" t="s">
        <v>27</v>
      </c>
      <c r="C40" t="s">
        <v>27</v>
      </c>
      <c r="D40" s="7">
        <v>45689</v>
      </c>
      <c r="E40" s="6">
        <v>-165</v>
      </c>
      <c r="F40" t="s">
        <v>67</v>
      </c>
      <c r="G40" t="s">
        <v>57</v>
      </c>
      <c r="H40" t="s">
        <v>30</v>
      </c>
      <c r="I40" t="s">
        <v>58</v>
      </c>
      <c r="K40" t="s">
        <v>27</v>
      </c>
      <c r="L40" t="s">
        <v>27</v>
      </c>
      <c r="M40" t="s">
        <v>27</v>
      </c>
      <c r="N40" s="7">
        <v>45992</v>
      </c>
      <c r="O40" s="6">
        <v>72113.184000000023</v>
      </c>
      <c r="P40" t="s">
        <v>42</v>
      </c>
      <c r="Q40" t="s">
        <v>29</v>
      </c>
      <c r="R40" t="s">
        <v>30</v>
      </c>
      <c r="S40" t="s">
        <v>31</v>
      </c>
    </row>
    <row r="41" spans="1:19" x14ac:dyDescent="0.25">
      <c r="A41" t="s">
        <v>27</v>
      </c>
      <c r="B41" t="s">
        <v>27</v>
      </c>
      <c r="C41" t="s">
        <v>27</v>
      </c>
      <c r="D41" s="7">
        <v>45717</v>
      </c>
      <c r="E41" s="6">
        <v>-21505.5</v>
      </c>
      <c r="F41" t="s">
        <v>68</v>
      </c>
      <c r="G41" t="s">
        <v>57</v>
      </c>
      <c r="H41" t="s">
        <v>30</v>
      </c>
      <c r="I41" t="s">
        <v>58</v>
      </c>
      <c r="K41" t="s">
        <v>27</v>
      </c>
      <c r="L41" t="s">
        <v>27</v>
      </c>
      <c r="M41" t="s">
        <v>27</v>
      </c>
      <c r="N41" s="7">
        <v>45992</v>
      </c>
      <c r="O41" s="6">
        <v>144226.36800000005</v>
      </c>
      <c r="P41" t="s">
        <v>42</v>
      </c>
      <c r="Q41" t="s">
        <v>29</v>
      </c>
      <c r="R41" t="s">
        <v>30</v>
      </c>
      <c r="S41" t="s">
        <v>31</v>
      </c>
    </row>
    <row r="42" spans="1:19" x14ac:dyDescent="0.25">
      <c r="A42" t="s">
        <v>27</v>
      </c>
      <c r="B42" t="s">
        <v>27</v>
      </c>
      <c r="C42" t="s">
        <v>27</v>
      </c>
      <c r="D42" s="7">
        <v>45717</v>
      </c>
      <c r="E42" s="6">
        <v>-1440</v>
      </c>
      <c r="F42" t="s">
        <v>69</v>
      </c>
      <c r="G42" t="s">
        <v>57</v>
      </c>
      <c r="H42" t="s">
        <v>30</v>
      </c>
      <c r="I42" t="s">
        <v>58</v>
      </c>
      <c r="K42" t="s">
        <v>27</v>
      </c>
      <c r="L42" t="s">
        <v>27</v>
      </c>
      <c r="M42" t="s">
        <v>27</v>
      </c>
      <c r="N42" s="7">
        <v>45992</v>
      </c>
      <c r="O42" s="6">
        <v>504792.28800000018</v>
      </c>
      <c r="P42" t="s">
        <v>42</v>
      </c>
      <c r="Q42" t="s">
        <v>29</v>
      </c>
      <c r="R42" t="s">
        <v>30</v>
      </c>
      <c r="S42" t="s">
        <v>31</v>
      </c>
    </row>
    <row r="43" spans="1:19" x14ac:dyDescent="0.25">
      <c r="A43" t="s">
        <v>27</v>
      </c>
      <c r="B43" t="s">
        <v>27</v>
      </c>
      <c r="C43" t="s">
        <v>27</v>
      </c>
      <c r="D43" s="7">
        <v>45717</v>
      </c>
      <c r="E43" s="6">
        <v>-11340</v>
      </c>
      <c r="F43" t="s">
        <v>70</v>
      </c>
      <c r="G43" t="s">
        <v>57</v>
      </c>
      <c r="H43" t="s">
        <v>30</v>
      </c>
      <c r="I43" t="s">
        <v>58</v>
      </c>
      <c r="K43" t="s">
        <v>27</v>
      </c>
      <c r="L43" t="s">
        <v>27</v>
      </c>
      <c r="M43" t="s">
        <v>27</v>
      </c>
      <c r="N43" s="7">
        <v>45689</v>
      </c>
      <c r="O43" s="6">
        <v>-33825</v>
      </c>
      <c r="P43" t="s">
        <v>43</v>
      </c>
      <c r="Q43" t="s">
        <v>546</v>
      </c>
      <c r="R43" t="s">
        <v>30</v>
      </c>
      <c r="S43" t="s">
        <v>44</v>
      </c>
    </row>
    <row r="44" spans="1:19" x14ac:dyDescent="0.25">
      <c r="A44" t="s">
        <v>27</v>
      </c>
      <c r="B44" t="s">
        <v>27</v>
      </c>
      <c r="C44" t="s">
        <v>27</v>
      </c>
      <c r="D44" s="7">
        <v>45717</v>
      </c>
      <c r="E44" s="6">
        <v>-245</v>
      </c>
      <c r="F44" t="s">
        <v>71</v>
      </c>
      <c r="G44" t="s">
        <v>57</v>
      </c>
      <c r="H44" t="s">
        <v>30</v>
      </c>
      <c r="I44" t="s">
        <v>58</v>
      </c>
      <c r="K44" t="s">
        <v>27</v>
      </c>
      <c r="L44" t="s">
        <v>27</v>
      </c>
      <c r="M44" t="s">
        <v>27</v>
      </c>
      <c r="N44" s="7">
        <v>45717</v>
      </c>
      <c r="O44" s="6">
        <v>-24354</v>
      </c>
      <c r="P44" t="s">
        <v>45</v>
      </c>
      <c r="Q44" t="s">
        <v>546</v>
      </c>
      <c r="R44" t="s">
        <v>30</v>
      </c>
      <c r="S44" t="s">
        <v>44</v>
      </c>
    </row>
    <row r="45" spans="1:19" x14ac:dyDescent="0.25">
      <c r="A45" t="s">
        <v>27</v>
      </c>
      <c r="B45" t="s">
        <v>27</v>
      </c>
      <c r="C45" t="s">
        <v>27</v>
      </c>
      <c r="D45" s="7">
        <v>45717</v>
      </c>
      <c r="E45" s="6">
        <v>-245</v>
      </c>
      <c r="F45" t="s">
        <v>72</v>
      </c>
      <c r="G45" t="s">
        <v>57</v>
      </c>
      <c r="H45" t="s">
        <v>30</v>
      </c>
      <c r="I45" t="s">
        <v>58</v>
      </c>
      <c r="K45" t="s">
        <v>27</v>
      </c>
      <c r="L45" t="s">
        <v>27</v>
      </c>
      <c r="M45" t="s">
        <v>27</v>
      </c>
      <c r="N45" s="7">
        <v>45748</v>
      </c>
      <c r="O45" s="6">
        <v>-37626.93</v>
      </c>
      <c r="P45" t="s">
        <v>46</v>
      </c>
      <c r="Q45" t="s">
        <v>546</v>
      </c>
      <c r="R45" t="s">
        <v>30</v>
      </c>
      <c r="S45" t="s">
        <v>44</v>
      </c>
    </row>
    <row r="46" spans="1:19" x14ac:dyDescent="0.25">
      <c r="A46" t="s">
        <v>27</v>
      </c>
      <c r="B46" t="s">
        <v>27</v>
      </c>
      <c r="C46" t="s">
        <v>27</v>
      </c>
      <c r="D46" s="7">
        <v>45748</v>
      </c>
      <c r="E46" s="6">
        <v>-15511.8375</v>
      </c>
      <c r="F46" t="s">
        <v>73</v>
      </c>
      <c r="G46" t="s">
        <v>57</v>
      </c>
      <c r="H46" t="s">
        <v>30</v>
      </c>
      <c r="I46" t="s">
        <v>58</v>
      </c>
      <c r="K46" t="s">
        <v>27</v>
      </c>
      <c r="L46" t="s">
        <v>27</v>
      </c>
      <c r="M46" t="s">
        <v>27</v>
      </c>
      <c r="N46" s="7">
        <v>45778</v>
      </c>
      <c r="O46" s="6">
        <v>-26478.210000000003</v>
      </c>
      <c r="P46" t="s">
        <v>47</v>
      </c>
      <c r="Q46" t="s">
        <v>546</v>
      </c>
      <c r="R46" t="s">
        <v>30</v>
      </c>
      <c r="S46" t="s">
        <v>44</v>
      </c>
    </row>
    <row r="47" spans="1:19" x14ac:dyDescent="0.25">
      <c r="A47" t="s">
        <v>27</v>
      </c>
      <c r="B47" t="s">
        <v>27</v>
      </c>
      <c r="C47" t="s">
        <v>27</v>
      </c>
      <c r="D47" s="7">
        <v>45748</v>
      </c>
      <c r="E47" s="6">
        <v>-1045.5</v>
      </c>
      <c r="F47" t="s">
        <v>74</v>
      </c>
      <c r="G47" t="s">
        <v>57</v>
      </c>
      <c r="H47" t="s">
        <v>30</v>
      </c>
      <c r="I47" t="s">
        <v>58</v>
      </c>
      <c r="K47" t="s">
        <v>27</v>
      </c>
      <c r="L47" t="s">
        <v>27</v>
      </c>
      <c r="M47" t="s">
        <v>27</v>
      </c>
      <c r="N47" s="7">
        <v>45809</v>
      </c>
      <c r="O47" s="6">
        <v>-33334.672800000008</v>
      </c>
      <c r="P47" t="s">
        <v>48</v>
      </c>
      <c r="Q47" t="s">
        <v>546</v>
      </c>
      <c r="R47" t="s">
        <v>30</v>
      </c>
      <c r="S47" t="s">
        <v>44</v>
      </c>
    </row>
    <row r="48" spans="1:19" x14ac:dyDescent="0.25">
      <c r="A48" t="s">
        <v>27</v>
      </c>
      <c r="B48" t="s">
        <v>27</v>
      </c>
      <c r="C48" t="s">
        <v>27</v>
      </c>
      <c r="D48" s="7">
        <v>45748</v>
      </c>
      <c r="E48" s="6">
        <v>-8179.4999999999982</v>
      </c>
      <c r="F48" t="s">
        <v>75</v>
      </c>
      <c r="G48" t="s">
        <v>57</v>
      </c>
      <c r="H48" t="s">
        <v>30</v>
      </c>
      <c r="I48" t="s">
        <v>58</v>
      </c>
      <c r="K48" t="s">
        <v>27</v>
      </c>
      <c r="L48" t="s">
        <v>27</v>
      </c>
      <c r="M48" t="s">
        <v>27</v>
      </c>
      <c r="N48" s="7">
        <v>45839</v>
      </c>
      <c r="O48" s="6">
        <v>-31885.339200000009</v>
      </c>
      <c r="P48" t="s">
        <v>49</v>
      </c>
      <c r="Q48" t="s">
        <v>546</v>
      </c>
      <c r="R48" t="s">
        <v>30</v>
      </c>
      <c r="S48" t="s">
        <v>44</v>
      </c>
    </row>
    <row r="49" spans="1:19" x14ac:dyDescent="0.25">
      <c r="A49" t="s">
        <v>27</v>
      </c>
      <c r="B49" t="s">
        <v>27</v>
      </c>
      <c r="C49" t="s">
        <v>27</v>
      </c>
      <c r="D49" s="7">
        <v>45748</v>
      </c>
      <c r="E49" s="6">
        <v>-176.8125</v>
      </c>
      <c r="F49" t="s">
        <v>76</v>
      </c>
      <c r="G49" t="s">
        <v>57</v>
      </c>
      <c r="H49" t="s">
        <v>30</v>
      </c>
      <c r="I49" t="s">
        <v>58</v>
      </c>
      <c r="K49" t="s">
        <v>27</v>
      </c>
      <c r="L49" t="s">
        <v>27</v>
      </c>
      <c r="M49" t="s">
        <v>27</v>
      </c>
      <c r="N49" s="7">
        <v>45870</v>
      </c>
      <c r="O49" s="6">
        <v>-57973.344000000005</v>
      </c>
      <c r="P49" t="s">
        <v>50</v>
      </c>
      <c r="Q49" t="s">
        <v>546</v>
      </c>
      <c r="R49" t="s">
        <v>30</v>
      </c>
      <c r="S49" t="s">
        <v>44</v>
      </c>
    </row>
    <row r="50" spans="1:19" x14ac:dyDescent="0.25">
      <c r="A50" t="s">
        <v>27</v>
      </c>
      <c r="B50" t="s">
        <v>27</v>
      </c>
      <c r="C50" t="s">
        <v>27</v>
      </c>
      <c r="D50" s="7">
        <v>45748</v>
      </c>
      <c r="E50" s="6">
        <v>-179.375</v>
      </c>
      <c r="F50" t="s">
        <v>77</v>
      </c>
      <c r="G50" t="s">
        <v>57</v>
      </c>
      <c r="H50" t="s">
        <v>30</v>
      </c>
      <c r="I50" t="s">
        <v>58</v>
      </c>
      <c r="K50" t="s">
        <v>27</v>
      </c>
      <c r="L50" t="s">
        <v>27</v>
      </c>
      <c r="M50" t="s">
        <v>27</v>
      </c>
      <c r="N50" s="7">
        <v>45901</v>
      </c>
      <c r="O50" s="6">
        <v>-51741.209520000011</v>
      </c>
      <c r="P50" t="s">
        <v>51</v>
      </c>
      <c r="Q50" t="s">
        <v>546</v>
      </c>
      <c r="R50" t="s">
        <v>30</v>
      </c>
      <c r="S50" t="s">
        <v>44</v>
      </c>
    </row>
    <row r="51" spans="1:19" x14ac:dyDescent="0.25">
      <c r="A51" t="s">
        <v>27</v>
      </c>
      <c r="B51" t="s">
        <v>27</v>
      </c>
      <c r="C51" t="s">
        <v>27</v>
      </c>
      <c r="D51" s="7">
        <v>45778</v>
      </c>
      <c r="E51" s="6">
        <v>-18777.487499999999</v>
      </c>
      <c r="F51" t="s">
        <v>78</v>
      </c>
      <c r="G51" t="s">
        <v>57</v>
      </c>
      <c r="H51" t="s">
        <v>30</v>
      </c>
      <c r="I51" t="s">
        <v>58</v>
      </c>
      <c r="K51" t="s">
        <v>27</v>
      </c>
      <c r="L51" t="s">
        <v>27</v>
      </c>
      <c r="M51" t="s">
        <v>27</v>
      </c>
      <c r="N51" s="7">
        <v>45931</v>
      </c>
      <c r="O51" s="6">
        <v>-48784.568976000017</v>
      </c>
      <c r="P51" t="s">
        <v>52</v>
      </c>
      <c r="Q51" t="s">
        <v>546</v>
      </c>
      <c r="R51" t="s">
        <v>30</v>
      </c>
      <c r="S51" t="s">
        <v>44</v>
      </c>
    </row>
    <row r="52" spans="1:19" x14ac:dyDescent="0.25">
      <c r="A52" t="s">
        <v>27</v>
      </c>
      <c r="B52" t="s">
        <v>27</v>
      </c>
      <c r="C52" t="s">
        <v>27</v>
      </c>
      <c r="D52" s="7">
        <v>45778</v>
      </c>
      <c r="E52" s="6">
        <v>-1260.75</v>
      </c>
      <c r="F52" t="s">
        <v>79</v>
      </c>
      <c r="G52" t="s">
        <v>57</v>
      </c>
      <c r="H52" t="s">
        <v>30</v>
      </c>
      <c r="I52" t="s">
        <v>58</v>
      </c>
      <c r="K52" t="s">
        <v>27</v>
      </c>
      <c r="L52" t="s">
        <v>27</v>
      </c>
      <c r="M52" t="s">
        <v>27</v>
      </c>
      <c r="N52" s="7">
        <v>45962</v>
      </c>
      <c r="O52" s="6">
        <v>-45827.928432000015</v>
      </c>
      <c r="P52" t="s">
        <v>53</v>
      </c>
      <c r="Q52" t="s">
        <v>546</v>
      </c>
      <c r="R52" t="s">
        <v>30</v>
      </c>
      <c r="S52" t="s">
        <v>44</v>
      </c>
    </row>
    <row r="53" spans="1:19" x14ac:dyDescent="0.25">
      <c r="A53" t="s">
        <v>27</v>
      </c>
      <c r="B53" t="s">
        <v>27</v>
      </c>
      <c r="C53" t="s">
        <v>27</v>
      </c>
      <c r="D53" s="7">
        <v>45778</v>
      </c>
      <c r="E53" s="6">
        <v>-9901.5</v>
      </c>
      <c r="F53" t="s">
        <v>80</v>
      </c>
      <c r="G53" t="s">
        <v>57</v>
      </c>
      <c r="H53" t="s">
        <v>30</v>
      </c>
      <c r="I53" t="s">
        <v>58</v>
      </c>
      <c r="K53" t="s">
        <v>27</v>
      </c>
      <c r="L53" t="s">
        <v>27</v>
      </c>
      <c r="M53" t="s">
        <v>27</v>
      </c>
      <c r="N53" s="7">
        <v>45992</v>
      </c>
      <c r="O53" s="6">
        <v>-56176.17033600001</v>
      </c>
      <c r="P53" t="s">
        <v>54</v>
      </c>
      <c r="Q53" t="s">
        <v>546</v>
      </c>
      <c r="R53" t="s">
        <v>30</v>
      </c>
      <c r="S53" t="s">
        <v>44</v>
      </c>
    </row>
    <row r="54" spans="1:19" x14ac:dyDescent="0.25">
      <c r="A54" t="s">
        <v>27</v>
      </c>
      <c r="B54" t="s">
        <v>27</v>
      </c>
      <c r="C54" t="s">
        <v>27</v>
      </c>
      <c r="D54" s="7">
        <v>45778</v>
      </c>
      <c r="E54" s="6">
        <v>-212.6875</v>
      </c>
      <c r="F54" t="s">
        <v>81</v>
      </c>
      <c r="G54" t="s">
        <v>57</v>
      </c>
      <c r="H54" t="s">
        <v>30</v>
      </c>
      <c r="I54" t="s">
        <v>58</v>
      </c>
      <c r="K54" t="s">
        <v>27</v>
      </c>
      <c r="L54" t="s">
        <v>27</v>
      </c>
      <c r="M54" t="s">
        <v>27</v>
      </c>
      <c r="N54" s="7">
        <v>46023</v>
      </c>
      <c r="O54" s="6">
        <v>-73916.01360000002</v>
      </c>
      <c r="P54" t="s">
        <v>55</v>
      </c>
      <c r="Q54" t="s">
        <v>546</v>
      </c>
      <c r="R54" t="s">
        <v>30</v>
      </c>
      <c r="S54" t="s">
        <v>44</v>
      </c>
    </row>
    <row r="55" spans="1:19" x14ac:dyDescent="0.25">
      <c r="A55" t="s">
        <v>27</v>
      </c>
      <c r="B55" t="s">
        <v>27</v>
      </c>
      <c r="C55" t="s">
        <v>27</v>
      </c>
      <c r="D55" s="7">
        <v>45778</v>
      </c>
      <c r="E55" s="6">
        <v>-215.25</v>
      </c>
      <c r="F55" t="s">
        <v>82</v>
      </c>
      <c r="G55" t="s">
        <v>57</v>
      </c>
      <c r="H55" t="s">
        <v>30</v>
      </c>
      <c r="I55" t="s">
        <v>58</v>
      </c>
      <c r="K55" t="s">
        <v>27</v>
      </c>
      <c r="L55" t="s">
        <v>27</v>
      </c>
      <c r="M55" t="s">
        <v>27</v>
      </c>
      <c r="N55" s="7">
        <v>45658</v>
      </c>
      <c r="O55" s="6">
        <v>-4978.125</v>
      </c>
      <c r="P55" t="s">
        <v>56</v>
      </c>
      <c r="Q55" t="s">
        <v>57</v>
      </c>
      <c r="R55" t="s">
        <v>30</v>
      </c>
      <c r="S55" t="s">
        <v>58</v>
      </c>
    </row>
    <row r="56" spans="1:19" x14ac:dyDescent="0.25">
      <c r="A56" t="s">
        <v>27</v>
      </c>
      <c r="B56" t="s">
        <v>27</v>
      </c>
      <c r="C56" t="s">
        <v>27</v>
      </c>
      <c r="D56" s="7">
        <v>45809</v>
      </c>
      <c r="E56" s="6">
        <v>-17961.075000000001</v>
      </c>
      <c r="F56" t="s">
        <v>83</v>
      </c>
      <c r="G56" t="s">
        <v>57</v>
      </c>
      <c r="H56" t="s">
        <v>30</v>
      </c>
      <c r="I56" t="s">
        <v>58</v>
      </c>
      <c r="K56" t="s">
        <v>27</v>
      </c>
      <c r="L56" t="s">
        <v>27</v>
      </c>
      <c r="M56" t="s">
        <v>27</v>
      </c>
      <c r="N56" s="7">
        <v>45658</v>
      </c>
      <c r="O56" s="6">
        <v>-4978.125</v>
      </c>
      <c r="P56" t="s">
        <v>56</v>
      </c>
      <c r="Q56" t="s">
        <v>57</v>
      </c>
      <c r="R56" t="s">
        <v>30</v>
      </c>
      <c r="S56" t="s">
        <v>58</v>
      </c>
    </row>
    <row r="57" spans="1:19" x14ac:dyDescent="0.25">
      <c r="A57" t="s">
        <v>27</v>
      </c>
      <c r="B57" t="s">
        <v>27</v>
      </c>
      <c r="C57" t="s">
        <v>27</v>
      </c>
      <c r="D57" s="7">
        <v>45809</v>
      </c>
      <c r="E57" s="6">
        <v>-1209.5</v>
      </c>
      <c r="F57" t="s">
        <v>84</v>
      </c>
      <c r="G57" t="s">
        <v>57</v>
      </c>
      <c r="H57" t="s">
        <v>30</v>
      </c>
      <c r="I57" t="s">
        <v>58</v>
      </c>
      <c r="K57" t="s">
        <v>27</v>
      </c>
      <c r="L57" t="s">
        <v>27</v>
      </c>
      <c r="M57" t="s">
        <v>27</v>
      </c>
      <c r="N57" s="7">
        <v>45689</v>
      </c>
      <c r="O57" s="6">
        <v>-4978.125</v>
      </c>
      <c r="P57" t="s">
        <v>56</v>
      </c>
      <c r="Q57" t="s">
        <v>57</v>
      </c>
      <c r="R57" t="s">
        <v>30</v>
      </c>
      <c r="S57" t="s">
        <v>58</v>
      </c>
    </row>
    <row r="58" spans="1:19" x14ac:dyDescent="0.25">
      <c r="A58" t="s">
        <v>27</v>
      </c>
      <c r="B58" t="s">
        <v>27</v>
      </c>
      <c r="C58" t="s">
        <v>27</v>
      </c>
      <c r="D58" s="7">
        <v>45809</v>
      </c>
      <c r="E58" s="6">
        <v>-9471</v>
      </c>
      <c r="F58" t="s">
        <v>85</v>
      </c>
      <c r="G58" t="s">
        <v>57</v>
      </c>
      <c r="H58" t="s">
        <v>30</v>
      </c>
      <c r="I58" t="s">
        <v>58</v>
      </c>
      <c r="K58" t="s">
        <v>27</v>
      </c>
      <c r="L58" t="s">
        <v>27</v>
      </c>
      <c r="M58" t="s">
        <v>27</v>
      </c>
      <c r="N58" s="7">
        <v>45717</v>
      </c>
      <c r="O58" s="6">
        <v>-4978.125</v>
      </c>
      <c r="P58" t="s">
        <v>56</v>
      </c>
      <c r="Q58" t="s">
        <v>57</v>
      </c>
      <c r="R58" t="s">
        <v>30</v>
      </c>
      <c r="S58" t="s">
        <v>58</v>
      </c>
    </row>
    <row r="59" spans="1:19" x14ac:dyDescent="0.25">
      <c r="A59" t="s">
        <v>27</v>
      </c>
      <c r="B59" t="s">
        <v>27</v>
      </c>
      <c r="C59" t="s">
        <v>27</v>
      </c>
      <c r="D59" s="7">
        <v>45809</v>
      </c>
      <c r="E59" s="6">
        <v>-205</v>
      </c>
      <c r="F59" t="s">
        <v>86</v>
      </c>
      <c r="G59" t="s">
        <v>57</v>
      </c>
      <c r="H59" t="s">
        <v>30</v>
      </c>
      <c r="I59" t="s">
        <v>58</v>
      </c>
      <c r="K59" t="s">
        <v>27</v>
      </c>
      <c r="L59" t="s">
        <v>27</v>
      </c>
      <c r="M59" t="s">
        <v>27</v>
      </c>
      <c r="N59" s="7">
        <v>45689</v>
      </c>
      <c r="O59" s="6">
        <v>-3584.25</v>
      </c>
      <c r="P59" t="s">
        <v>59</v>
      </c>
      <c r="Q59" t="s">
        <v>57</v>
      </c>
      <c r="R59" t="s">
        <v>30</v>
      </c>
      <c r="S59" t="s">
        <v>58</v>
      </c>
    </row>
    <row r="60" spans="1:19" x14ac:dyDescent="0.25">
      <c r="A60" t="s">
        <v>27</v>
      </c>
      <c r="B60" t="s">
        <v>27</v>
      </c>
      <c r="C60" t="s">
        <v>27</v>
      </c>
      <c r="D60" s="7">
        <v>45809</v>
      </c>
      <c r="E60" s="6">
        <v>-205</v>
      </c>
      <c r="F60" t="s">
        <v>87</v>
      </c>
      <c r="G60" t="s">
        <v>57</v>
      </c>
      <c r="H60" t="s">
        <v>30</v>
      </c>
      <c r="I60" t="s">
        <v>58</v>
      </c>
      <c r="K60" t="s">
        <v>27</v>
      </c>
      <c r="L60" t="s">
        <v>27</v>
      </c>
      <c r="M60" t="s">
        <v>27</v>
      </c>
      <c r="N60" s="7">
        <v>45717</v>
      </c>
      <c r="O60" s="6">
        <v>-3584.25</v>
      </c>
      <c r="P60" t="s">
        <v>59</v>
      </c>
      <c r="Q60" t="s">
        <v>57</v>
      </c>
      <c r="R60" t="s">
        <v>30</v>
      </c>
      <c r="S60" t="s">
        <v>58</v>
      </c>
    </row>
    <row r="61" spans="1:19" x14ac:dyDescent="0.25">
      <c r="A61" t="s">
        <v>27</v>
      </c>
      <c r="B61" t="s">
        <v>27</v>
      </c>
      <c r="C61" t="s">
        <v>27</v>
      </c>
      <c r="D61" s="7">
        <v>45839</v>
      </c>
      <c r="E61" s="6">
        <v>-32656.5</v>
      </c>
      <c r="F61" t="s">
        <v>88</v>
      </c>
      <c r="G61" t="s">
        <v>57</v>
      </c>
      <c r="H61" t="s">
        <v>30</v>
      </c>
      <c r="I61" t="s">
        <v>58</v>
      </c>
      <c r="K61" t="s">
        <v>27</v>
      </c>
      <c r="L61" t="s">
        <v>27</v>
      </c>
      <c r="M61" t="s">
        <v>27</v>
      </c>
      <c r="N61" s="7">
        <v>45717</v>
      </c>
      <c r="O61" s="6">
        <v>-3584.25</v>
      </c>
      <c r="P61" t="s">
        <v>59</v>
      </c>
      <c r="Q61" t="s">
        <v>57</v>
      </c>
      <c r="R61" t="s">
        <v>30</v>
      </c>
      <c r="S61" t="s">
        <v>58</v>
      </c>
    </row>
    <row r="62" spans="1:19" x14ac:dyDescent="0.25">
      <c r="A62" t="s">
        <v>27</v>
      </c>
      <c r="B62" t="s">
        <v>27</v>
      </c>
      <c r="C62" t="s">
        <v>27</v>
      </c>
      <c r="D62" s="7">
        <v>45839</v>
      </c>
      <c r="E62" s="6">
        <v>-2183.25</v>
      </c>
      <c r="F62" t="s">
        <v>89</v>
      </c>
      <c r="G62" t="s">
        <v>57</v>
      </c>
      <c r="H62" t="s">
        <v>30</v>
      </c>
      <c r="I62" t="s">
        <v>58</v>
      </c>
      <c r="K62" t="s">
        <v>27</v>
      </c>
      <c r="L62" t="s">
        <v>27</v>
      </c>
      <c r="M62" t="s">
        <v>27</v>
      </c>
      <c r="N62" s="7">
        <v>45748</v>
      </c>
      <c r="O62" s="6">
        <v>-3584.25</v>
      </c>
      <c r="P62" t="s">
        <v>59</v>
      </c>
      <c r="Q62" t="s">
        <v>57</v>
      </c>
      <c r="R62" t="s">
        <v>30</v>
      </c>
      <c r="S62" t="s">
        <v>58</v>
      </c>
    </row>
    <row r="63" spans="1:19" x14ac:dyDescent="0.25">
      <c r="A63" t="s">
        <v>27</v>
      </c>
      <c r="B63" t="s">
        <v>27</v>
      </c>
      <c r="C63" t="s">
        <v>27</v>
      </c>
      <c r="D63" s="7">
        <v>45839</v>
      </c>
      <c r="E63" s="6">
        <v>-17220</v>
      </c>
      <c r="F63" t="s">
        <v>90</v>
      </c>
      <c r="G63" t="s">
        <v>57</v>
      </c>
      <c r="H63" t="s">
        <v>30</v>
      </c>
      <c r="I63" t="s">
        <v>58</v>
      </c>
      <c r="K63" t="s">
        <v>27</v>
      </c>
      <c r="L63" t="s">
        <v>27</v>
      </c>
      <c r="M63" t="s">
        <v>27</v>
      </c>
      <c r="N63" s="7">
        <v>45658</v>
      </c>
      <c r="O63" s="6">
        <v>-335</v>
      </c>
      <c r="P63" t="s">
        <v>60</v>
      </c>
      <c r="Q63" t="s">
        <v>57</v>
      </c>
      <c r="R63" t="s">
        <v>30</v>
      </c>
      <c r="S63" t="s">
        <v>58</v>
      </c>
    </row>
    <row r="64" spans="1:19" x14ac:dyDescent="0.25">
      <c r="A64" t="s">
        <v>27</v>
      </c>
      <c r="B64" t="s">
        <v>27</v>
      </c>
      <c r="C64" t="s">
        <v>27</v>
      </c>
      <c r="D64" s="7">
        <v>45839</v>
      </c>
      <c r="E64" s="6">
        <v>-369</v>
      </c>
      <c r="F64" t="s">
        <v>91</v>
      </c>
      <c r="G64" t="s">
        <v>57</v>
      </c>
      <c r="H64" t="s">
        <v>30</v>
      </c>
      <c r="I64" t="s">
        <v>58</v>
      </c>
      <c r="K64" t="s">
        <v>27</v>
      </c>
      <c r="L64" t="s">
        <v>27</v>
      </c>
      <c r="M64" t="s">
        <v>27</v>
      </c>
      <c r="N64" s="7">
        <v>45658</v>
      </c>
      <c r="O64" s="6">
        <v>-335</v>
      </c>
      <c r="P64" t="s">
        <v>60</v>
      </c>
      <c r="Q64" t="s">
        <v>57</v>
      </c>
      <c r="R64" t="s">
        <v>30</v>
      </c>
      <c r="S64" t="s">
        <v>58</v>
      </c>
    </row>
    <row r="65" spans="1:19" x14ac:dyDescent="0.25">
      <c r="A65" t="s">
        <v>27</v>
      </c>
      <c r="B65" t="s">
        <v>27</v>
      </c>
      <c r="C65" t="s">
        <v>27</v>
      </c>
      <c r="D65" s="7">
        <v>45839</v>
      </c>
      <c r="E65" s="6">
        <v>-369</v>
      </c>
      <c r="F65" t="s">
        <v>92</v>
      </c>
      <c r="G65" t="s">
        <v>57</v>
      </c>
      <c r="H65" t="s">
        <v>30</v>
      </c>
      <c r="I65" t="s">
        <v>58</v>
      </c>
      <c r="K65" t="s">
        <v>27</v>
      </c>
      <c r="L65" t="s">
        <v>27</v>
      </c>
      <c r="M65" t="s">
        <v>27</v>
      </c>
      <c r="N65" s="7">
        <v>45689</v>
      </c>
      <c r="O65" s="6">
        <v>-335</v>
      </c>
      <c r="P65" t="s">
        <v>60</v>
      </c>
      <c r="Q65" t="s">
        <v>57</v>
      </c>
      <c r="R65" t="s">
        <v>30</v>
      </c>
      <c r="S65" t="s">
        <v>58</v>
      </c>
    </row>
    <row r="66" spans="1:19" x14ac:dyDescent="0.25">
      <c r="A66" t="s">
        <v>27</v>
      </c>
      <c r="B66" t="s">
        <v>27</v>
      </c>
      <c r="C66" t="s">
        <v>27</v>
      </c>
      <c r="D66" s="7">
        <v>45870</v>
      </c>
      <c r="E66" s="6">
        <v>-29946.0105</v>
      </c>
      <c r="F66" t="s">
        <v>93</v>
      </c>
      <c r="G66" t="s">
        <v>57</v>
      </c>
      <c r="H66" t="s">
        <v>30</v>
      </c>
      <c r="I66" t="s">
        <v>58</v>
      </c>
      <c r="K66" t="s">
        <v>27</v>
      </c>
      <c r="L66" t="s">
        <v>27</v>
      </c>
      <c r="M66" t="s">
        <v>27</v>
      </c>
      <c r="N66" s="7">
        <v>45717</v>
      </c>
      <c r="O66" s="6">
        <v>-335</v>
      </c>
      <c r="P66" t="s">
        <v>60</v>
      </c>
      <c r="Q66" t="s">
        <v>57</v>
      </c>
      <c r="R66" t="s">
        <v>30</v>
      </c>
      <c r="S66" t="s">
        <v>58</v>
      </c>
    </row>
    <row r="67" spans="1:19" x14ac:dyDescent="0.25">
      <c r="A67" t="s">
        <v>27</v>
      </c>
      <c r="B67" t="s">
        <v>27</v>
      </c>
      <c r="C67" t="s">
        <v>27</v>
      </c>
      <c r="D67" s="7">
        <v>45870</v>
      </c>
      <c r="E67" s="6">
        <v>-2008.7539999999999</v>
      </c>
      <c r="F67" t="s">
        <v>94</v>
      </c>
      <c r="G67" t="s">
        <v>57</v>
      </c>
      <c r="H67" t="s">
        <v>30</v>
      </c>
      <c r="I67" t="s">
        <v>58</v>
      </c>
      <c r="K67" t="s">
        <v>27</v>
      </c>
      <c r="L67" t="s">
        <v>27</v>
      </c>
      <c r="M67" t="s">
        <v>27</v>
      </c>
      <c r="N67" s="7">
        <v>45689</v>
      </c>
      <c r="O67" s="6">
        <v>-240</v>
      </c>
      <c r="P67" t="s">
        <v>61</v>
      </c>
      <c r="Q67" t="s">
        <v>57</v>
      </c>
      <c r="R67" t="s">
        <v>30</v>
      </c>
      <c r="S67" t="s">
        <v>58</v>
      </c>
    </row>
    <row r="68" spans="1:19" x14ac:dyDescent="0.25">
      <c r="A68" t="s">
        <v>27</v>
      </c>
      <c r="B68" t="s">
        <v>27</v>
      </c>
      <c r="C68" t="s">
        <v>27</v>
      </c>
      <c r="D68" s="7">
        <v>45870</v>
      </c>
      <c r="E68" s="6">
        <v>-15790.74</v>
      </c>
      <c r="F68" t="s">
        <v>95</v>
      </c>
      <c r="G68" t="s">
        <v>57</v>
      </c>
      <c r="H68" t="s">
        <v>30</v>
      </c>
      <c r="I68" t="s">
        <v>58</v>
      </c>
      <c r="K68" t="s">
        <v>27</v>
      </c>
      <c r="L68" t="s">
        <v>27</v>
      </c>
      <c r="M68" t="s">
        <v>27</v>
      </c>
      <c r="N68" s="7">
        <v>45717</v>
      </c>
      <c r="O68" s="6">
        <v>-240</v>
      </c>
      <c r="P68" t="s">
        <v>61</v>
      </c>
      <c r="Q68" t="s">
        <v>57</v>
      </c>
      <c r="R68" t="s">
        <v>30</v>
      </c>
      <c r="S68" t="s">
        <v>58</v>
      </c>
    </row>
    <row r="69" spans="1:19" x14ac:dyDescent="0.25">
      <c r="A69" t="s">
        <v>27</v>
      </c>
      <c r="B69" t="s">
        <v>27</v>
      </c>
      <c r="C69" t="s">
        <v>27</v>
      </c>
      <c r="D69" s="7">
        <v>45870</v>
      </c>
      <c r="E69" s="6">
        <v>-338.37300000000005</v>
      </c>
      <c r="F69" t="s">
        <v>96</v>
      </c>
      <c r="G69" t="s">
        <v>57</v>
      </c>
      <c r="H69" t="s">
        <v>30</v>
      </c>
      <c r="I69" t="s">
        <v>58</v>
      </c>
      <c r="K69" t="s">
        <v>27</v>
      </c>
      <c r="L69" t="s">
        <v>27</v>
      </c>
      <c r="M69" t="s">
        <v>27</v>
      </c>
      <c r="N69" s="7">
        <v>45717</v>
      </c>
      <c r="O69" s="6">
        <v>-240</v>
      </c>
      <c r="P69" t="s">
        <v>61</v>
      </c>
      <c r="Q69" t="s">
        <v>57</v>
      </c>
      <c r="R69" t="s">
        <v>30</v>
      </c>
      <c r="S69" t="s">
        <v>58</v>
      </c>
    </row>
    <row r="70" spans="1:19" x14ac:dyDescent="0.25">
      <c r="A70" t="s">
        <v>27</v>
      </c>
      <c r="B70" t="s">
        <v>27</v>
      </c>
      <c r="C70" t="s">
        <v>27</v>
      </c>
      <c r="D70" s="7">
        <v>45870</v>
      </c>
      <c r="E70" s="6">
        <v>-338.37300000000005</v>
      </c>
      <c r="F70" t="s">
        <v>97</v>
      </c>
      <c r="G70" t="s">
        <v>57</v>
      </c>
      <c r="H70" t="s">
        <v>30</v>
      </c>
      <c r="I70" t="s">
        <v>58</v>
      </c>
      <c r="K70" t="s">
        <v>27</v>
      </c>
      <c r="L70" t="s">
        <v>27</v>
      </c>
      <c r="M70" t="s">
        <v>27</v>
      </c>
      <c r="N70" s="7">
        <v>45748</v>
      </c>
      <c r="O70" s="6">
        <v>-240</v>
      </c>
      <c r="P70" t="s">
        <v>61</v>
      </c>
      <c r="Q70" t="s">
        <v>57</v>
      </c>
      <c r="R70" t="s">
        <v>30</v>
      </c>
      <c r="S70" t="s">
        <v>58</v>
      </c>
    </row>
    <row r="71" spans="1:19" x14ac:dyDescent="0.25">
      <c r="A71" t="s">
        <v>27</v>
      </c>
      <c r="B71" t="s">
        <v>27</v>
      </c>
      <c r="C71" t="s">
        <v>27</v>
      </c>
      <c r="D71" s="7">
        <v>45901</v>
      </c>
      <c r="E71" s="6">
        <v>-28234.8099</v>
      </c>
      <c r="F71" t="s">
        <v>98</v>
      </c>
      <c r="G71" t="s">
        <v>57</v>
      </c>
      <c r="H71" t="s">
        <v>30</v>
      </c>
      <c r="I71" t="s">
        <v>58</v>
      </c>
      <c r="K71" t="s">
        <v>27</v>
      </c>
      <c r="L71" t="s">
        <v>27</v>
      </c>
      <c r="M71" t="s">
        <v>27</v>
      </c>
      <c r="N71" s="7">
        <v>45658</v>
      </c>
      <c r="O71" s="6">
        <v>-2625</v>
      </c>
      <c r="P71" t="s">
        <v>62</v>
      </c>
      <c r="Q71" t="s">
        <v>57</v>
      </c>
      <c r="R71" t="s">
        <v>30</v>
      </c>
      <c r="S71" t="s">
        <v>58</v>
      </c>
    </row>
    <row r="72" spans="1:19" x14ac:dyDescent="0.25">
      <c r="A72" t="s">
        <v>27</v>
      </c>
      <c r="B72" t="s">
        <v>27</v>
      </c>
      <c r="C72" t="s">
        <v>27</v>
      </c>
      <c r="D72" s="7">
        <v>45901</v>
      </c>
      <c r="E72" s="6">
        <v>-1890.5920000000001</v>
      </c>
      <c r="F72" t="s">
        <v>99</v>
      </c>
      <c r="G72" t="s">
        <v>57</v>
      </c>
      <c r="H72" t="s">
        <v>30</v>
      </c>
      <c r="I72" t="s">
        <v>58</v>
      </c>
      <c r="K72" t="s">
        <v>27</v>
      </c>
      <c r="L72" t="s">
        <v>27</v>
      </c>
      <c r="M72" t="s">
        <v>27</v>
      </c>
      <c r="N72" s="7">
        <v>45658</v>
      </c>
      <c r="O72" s="6">
        <v>-2625</v>
      </c>
      <c r="P72" t="s">
        <v>62</v>
      </c>
      <c r="Q72" t="s">
        <v>57</v>
      </c>
      <c r="R72" t="s">
        <v>30</v>
      </c>
      <c r="S72" t="s">
        <v>58</v>
      </c>
    </row>
    <row r="73" spans="1:19" x14ac:dyDescent="0.25">
      <c r="A73" t="s">
        <v>27</v>
      </c>
      <c r="B73" t="s">
        <v>27</v>
      </c>
      <c r="C73" t="s">
        <v>27</v>
      </c>
      <c r="D73" s="7">
        <v>45901</v>
      </c>
      <c r="E73" s="6">
        <v>-14888.412</v>
      </c>
      <c r="F73" t="s">
        <v>100</v>
      </c>
      <c r="G73" t="s">
        <v>57</v>
      </c>
      <c r="H73" t="s">
        <v>30</v>
      </c>
      <c r="I73" t="s">
        <v>58</v>
      </c>
      <c r="K73" t="s">
        <v>27</v>
      </c>
      <c r="L73" t="s">
        <v>27</v>
      </c>
      <c r="M73" t="s">
        <v>27</v>
      </c>
      <c r="N73" s="7">
        <v>45689</v>
      </c>
      <c r="O73" s="6">
        <v>-2625</v>
      </c>
      <c r="P73" t="s">
        <v>62</v>
      </c>
      <c r="Q73" t="s">
        <v>57</v>
      </c>
      <c r="R73" t="s">
        <v>30</v>
      </c>
      <c r="S73" t="s">
        <v>58</v>
      </c>
    </row>
    <row r="74" spans="1:19" x14ac:dyDescent="0.25">
      <c r="A74" t="s">
        <v>27</v>
      </c>
      <c r="B74" t="s">
        <v>27</v>
      </c>
      <c r="C74" t="s">
        <v>27</v>
      </c>
      <c r="D74" s="7">
        <v>45901</v>
      </c>
      <c r="E74" s="6">
        <v>-319.5745</v>
      </c>
      <c r="F74" t="s">
        <v>101</v>
      </c>
      <c r="G74" t="s">
        <v>57</v>
      </c>
      <c r="H74" t="s">
        <v>30</v>
      </c>
      <c r="I74" t="s">
        <v>58</v>
      </c>
      <c r="K74" t="s">
        <v>27</v>
      </c>
      <c r="L74" t="s">
        <v>27</v>
      </c>
      <c r="M74" t="s">
        <v>27</v>
      </c>
      <c r="N74" s="7">
        <v>45717</v>
      </c>
      <c r="O74" s="6">
        <v>-2625</v>
      </c>
      <c r="P74" t="s">
        <v>62</v>
      </c>
      <c r="Q74" t="s">
        <v>57</v>
      </c>
      <c r="R74" t="s">
        <v>30</v>
      </c>
      <c r="S74" t="s">
        <v>58</v>
      </c>
    </row>
    <row r="75" spans="1:19" x14ac:dyDescent="0.25">
      <c r="A75" t="s">
        <v>27</v>
      </c>
      <c r="B75" t="s">
        <v>27</v>
      </c>
      <c r="C75" t="s">
        <v>27</v>
      </c>
      <c r="D75" s="7">
        <v>45901</v>
      </c>
      <c r="E75" s="6">
        <v>-322.26000000000005</v>
      </c>
      <c r="F75" t="s">
        <v>102</v>
      </c>
      <c r="G75" t="s">
        <v>57</v>
      </c>
      <c r="H75" t="s">
        <v>30</v>
      </c>
      <c r="I75" t="s">
        <v>58</v>
      </c>
      <c r="K75" t="s">
        <v>27</v>
      </c>
      <c r="L75" t="s">
        <v>27</v>
      </c>
      <c r="M75" t="s">
        <v>27</v>
      </c>
      <c r="N75" s="7">
        <v>45658</v>
      </c>
      <c r="O75" s="6">
        <v>-56.25</v>
      </c>
      <c r="P75" t="s">
        <v>63</v>
      </c>
      <c r="Q75" t="s">
        <v>57</v>
      </c>
      <c r="R75" t="s">
        <v>30</v>
      </c>
      <c r="S75" t="s">
        <v>58</v>
      </c>
    </row>
    <row r="76" spans="1:19" x14ac:dyDescent="0.25">
      <c r="A76" t="s">
        <v>27</v>
      </c>
      <c r="B76" t="s">
        <v>27</v>
      </c>
      <c r="C76" t="s">
        <v>27</v>
      </c>
      <c r="D76" s="7">
        <v>45931</v>
      </c>
      <c r="E76" s="6">
        <v>-26523.6093</v>
      </c>
      <c r="F76" t="s">
        <v>103</v>
      </c>
      <c r="G76" t="s">
        <v>57</v>
      </c>
      <c r="H76" t="s">
        <v>30</v>
      </c>
      <c r="I76" t="s">
        <v>58</v>
      </c>
      <c r="K76" t="s">
        <v>27</v>
      </c>
      <c r="L76" t="s">
        <v>27</v>
      </c>
      <c r="M76" t="s">
        <v>27</v>
      </c>
      <c r="N76" s="7">
        <v>45658</v>
      </c>
      <c r="O76" s="6">
        <v>-56.25</v>
      </c>
      <c r="P76" t="s">
        <v>63</v>
      </c>
      <c r="Q76" t="s">
        <v>57</v>
      </c>
      <c r="R76" t="s">
        <v>30</v>
      </c>
      <c r="S76" t="s">
        <v>58</v>
      </c>
    </row>
    <row r="77" spans="1:19" x14ac:dyDescent="0.25">
      <c r="A77" t="s">
        <v>27</v>
      </c>
      <c r="B77" t="s">
        <v>27</v>
      </c>
      <c r="C77" t="s">
        <v>27</v>
      </c>
      <c r="D77" s="7">
        <v>45931</v>
      </c>
      <c r="E77" s="6">
        <v>-1783.1720000000005</v>
      </c>
      <c r="F77" t="s">
        <v>104</v>
      </c>
      <c r="G77" t="s">
        <v>57</v>
      </c>
      <c r="H77" t="s">
        <v>30</v>
      </c>
      <c r="I77" t="s">
        <v>58</v>
      </c>
      <c r="K77" t="s">
        <v>27</v>
      </c>
      <c r="L77" t="s">
        <v>27</v>
      </c>
      <c r="M77" t="s">
        <v>27</v>
      </c>
      <c r="N77" s="7">
        <v>45689</v>
      </c>
      <c r="O77" s="6">
        <v>-56.25</v>
      </c>
      <c r="P77" t="s">
        <v>63</v>
      </c>
      <c r="Q77" t="s">
        <v>57</v>
      </c>
      <c r="R77" t="s">
        <v>30</v>
      </c>
      <c r="S77" t="s">
        <v>58</v>
      </c>
    </row>
    <row r="78" spans="1:19" x14ac:dyDescent="0.25">
      <c r="A78" t="s">
        <v>27</v>
      </c>
      <c r="B78" t="s">
        <v>27</v>
      </c>
      <c r="C78" t="s">
        <v>27</v>
      </c>
      <c r="D78" s="7">
        <v>45931</v>
      </c>
      <c r="E78" s="6">
        <v>-13986.084000000001</v>
      </c>
      <c r="F78" t="s">
        <v>105</v>
      </c>
      <c r="G78" t="s">
        <v>57</v>
      </c>
      <c r="H78" t="s">
        <v>30</v>
      </c>
      <c r="I78" t="s">
        <v>58</v>
      </c>
      <c r="K78" t="s">
        <v>27</v>
      </c>
      <c r="L78" t="s">
        <v>27</v>
      </c>
      <c r="M78" t="s">
        <v>27</v>
      </c>
      <c r="N78" s="7">
        <v>45717</v>
      </c>
      <c r="O78" s="6">
        <v>-56.25</v>
      </c>
      <c r="P78" t="s">
        <v>63</v>
      </c>
      <c r="Q78" t="s">
        <v>57</v>
      </c>
      <c r="R78" t="s">
        <v>30</v>
      </c>
      <c r="S78" t="s">
        <v>58</v>
      </c>
    </row>
    <row r="79" spans="1:19" x14ac:dyDescent="0.25">
      <c r="A79" t="s">
        <v>27</v>
      </c>
      <c r="B79" t="s">
        <v>27</v>
      </c>
      <c r="C79" t="s">
        <v>27</v>
      </c>
      <c r="D79" s="7">
        <v>45931</v>
      </c>
      <c r="E79" s="6">
        <v>-300.77600000000001</v>
      </c>
      <c r="F79" t="s">
        <v>106</v>
      </c>
      <c r="G79" t="s">
        <v>57</v>
      </c>
      <c r="H79" t="s">
        <v>30</v>
      </c>
      <c r="I79" t="s">
        <v>58</v>
      </c>
      <c r="K79" t="s">
        <v>27</v>
      </c>
      <c r="L79" t="s">
        <v>27</v>
      </c>
      <c r="M79" t="s">
        <v>27</v>
      </c>
      <c r="N79" s="7">
        <v>45658</v>
      </c>
      <c r="O79" s="6">
        <v>-56.25</v>
      </c>
      <c r="P79" t="s">
        <v>64</v>
      </c>
      <c r="Q79" t="s">
        <v>57</v>
      </c>
      <c r="R79" t="s">
        <v>30</v>
      </c>
      <c r="S79" t="s">
        <v>58</v>
      </c>
    </row>
    <row r="80" spans="1:19" x14ac:dyDescent="0.25">
      <c r="A80" t="s">
        <v>27</v>
      </c>
      <c r="B80" t="s">
        <v>27</v>
      </c>
      <c r="C80" t="s">
        <v>27</v>
      </c>
      <c r="D80" s="7">
        <v>45931</v>
      </c>
      <c r="E80" s="6">
        <v>-300.77600000000001</v>
      </c>
      <c r="F80" t="s">
        <v>107</v>
      </c>
      <c r="G80" t="s">
        <v>57</v>
      </c>
      <c r="H80" t="s">
        <v>30</v>
      </c>
      <c r="I80" t="s">
        <v>58</v>
      </c>
      <c r="K80" t="s">
        <v>27</v>
      </c>
      <c r="L80" t="s">
        <v>27</v>
      </c>
      <c r="M80" t="s">
        <v>27</v>
      </c>
      <c r="N80" s="7">
        <v>45658</v>
      </c>
      <c r="O80" s="6">
        <v>-56.25</v>
      </c>
      <c r="P80" t="s">
        <v>64</v>
      </c>
      <c r="Q80" t="s">
        <v>57</v>
      </c>
      <c r="R80" t="s">
        <v>30</v>
      </c>
      <c r="S80" t="s">
        <v>58</v>
      </c>
    </row>
    <row r="81" spans="1:19" x14ac:dyDescent="0.25">
      <c r="A81" t="s">
        <v>27</v>
      </c>
      <c r="B81" t="s">
        <v>27</v>
      </c>
      <c r="C81" t="s">
        <v>27</v>
      </c>
      <c r="D81" s="7">
        <v>45962</v>
      </c>
      <c r="E81" s="6">
        <v>-32512.811399999999</v>
      </c>
      <c r="F81" t="s">
        <v>108</v>
      </c>
      <c r="G81" t="s">
        <v>57</v>
      </c>
      <c r="H81" t="s">
        <v>30</v>
      </c>
      <c r="I81" t="s">
        <v>58</v>
      </c>
      <c r="K81" t="s">
        <v>27</v>
      </c>
      <c r="L81" t="s">
        <v>27</v>
      </c>
      <c r="M81" t="s">
        <v>27</v>
      </c>
      <c r="N81" s="7">
        <v>45689</v>
      </c>
      <c r="O81" s="6">
        <v>-56.25</v>
      </c>
      <c r="P81" t="s">
        <v>64</v>
      </c>
      <c r="Q81" t="s">
        <v>57</v>
      </c>
      <c r="R81" t="s">
        <v>30</v>
      </c>
      <c r="S81" t="s">
        <v>58</v>
      </c>
    </row>
    <row r="82" spans="1:19" x14ac:dyDescent="0.25">
      <c r="A82" t="s">
        <v>27</v>
      </c>
      <c r="B82" t="s">
        <v>27</v>
      </c>
      <c r="C82" t="s">
        <v>27</v>
      </c>
      <c r="D82" s="7">
        <v>45962</v>
      </c>
      <c r="E82" s="6">
        <v>-2180.6260000000002</v>
      </c>
      <c r="F82" t="s">
        <v>109</v>
      </c>
      <c r="G82" t="s">
        <v>57</v>
      </c>
      <c r="H82" t="s">
        <v>30</v>
      </c>
      <c r="I82" t="s">
        <v>58</v>
      </c>
      <c r="K82" t="s">
        <v>27</v>
      </c>
      <c r="L82" t="s">
        <v>27</v>
      </c>
      <c r="M82" t="s">
        <v>27</v>
      </c>
      <c r="N82" s="7">
        <v>45717</v>
      </c>
      <c r="O82" s="6">
        <v>-56.25</v>
      </c>
      <c r="P82" t="s">
        <v>64</v>
      </c>
      <c r="Q82" t="s">
        <v>57</v>
      </c>
      <c r="R82" t="s">
        <v>30</v>
      </c>
      <c r="S82" t="s">
        <v>58</v>
      </c>
    </row>
    <row r="83" spans="1:19" x14ac:dyDescent="0.25">
      <c r="A83" t="s">
        <v>27</v>
      </c>
      <c r="B83" t="s">
        <v>27</v>
      </c>
      <c r="C83" t="s">
        <v>27</v>
      </c>
      <c r="D83" s="7">
        <v>45962</v>
      </c>
      <c r="E83" s="6">
        <v>-17144.232</v>
      </c>
      <c r="F83" t="s">
        <v>110</v>
      </c>
      <c r="G83" t="s">
        <v>57</v>
      </c>
      <c r="H83" t="s">
        <v>30</v>
      </c>
      <c r="I83" t="s">
        <v>58</v>
      </c>
      <c r="K83" t="s">
        <v>27</v>
      </c>
      <c r="L83" t="s">
        <v>27</v>
      </c>
      <c r="M83" t="s">
        <v>27</v>
      </c>
      <c r="N83" s="7">
        <v>45689</v>
      </c>
      <c r="O83" s="6">
        <v>-1890</v>
      </c>
      <c r="P83" t="s">
        <v>65</v>
      </c>
      <c r="Q83" t="s">
        <v>57</v>
      </c>
      <c r="R83" t="s">
        <v>30</v>
      </c>
      <c r="S83" t="s">
        <v>58</v>
      </c>
    </row>
    <row r="84" spans="1:19" x14ac:dyDescent="0.25">
      <c r="A84" t="s">
        <v>27</v>
      </c>
      <c r="B84" t="s">
        <v>27</v>
      </c>
      <c r="C84" t="s">
        <v>27</v>
      </c>
      <c r="D84" s="7">
        <v>45962</v>
      </c>
      <c r="E84" s="6">
        <v>-367.91350000000006</v>
      </c>
      <c r="F84" t="s">
        <v>111</v>
      </c>
      <c r="G84" t="s">
        <v>57</v>
      </c>
      <c r="H84" t="s">
        <v>30</v>
      </c>
      <c r="I84" t="s">
        <v>58</v>
      </c>
      <c r="K84" t="s">
        <v>27</v>
      </c>
      <c r="L84" t="s">
        <v>27</v>
      </c>
      <c r="M84" t="s">
        <v>27</v>
      </c>
      <c r="N84" s="7">
        <v>45717</v>
      </c>
      <c r="O84" s="6">
        <v>-1890</v>
      </c>
      <c r="P84" t="s">
        <v>65</v>
      </c>
      <c r="Q84" t="s">
        <v>57</v>
      </c>
      <c r="R84" t="s">
        <v>30</v>
      </c>
      <c r="S84" t="s">
        <v>58</v>
      </c>
    </row>
    <row r="85" spans="1:19" x14ac:dyDescent="0.25">
      <c r="A85" t="s">
        <v>27</v>
      </c>
      <c r="B85" t="s">
        <v>27</v>
      </c>
      <c r="C85" t="s">
        <v>27</v>
      </c>
      <c r="D85" s="7">
        <v>45962</v>
      </c>
      <c r="E85" s="6">
        <v>-370.5990000000001</v>
      </c>
      <c r="F85" t="s">
        <v>112</v>
      </c>
      <c r="G85" t="s">
        <v>57</v>
      </c>
      <c r="H85" t="s">
        <v>30</v>
      </c>
      <c r="I85" t="s">
        <v>58</v>
      </c>
      <c r="K85" t="s">
        <v>27</v>
      </c>
      <c r="L85" t="s">
        <v>27</v>
      </c>
      <c r="M85" t="s">
        <v>27</v>
      </c>
      <c r="N85" s="7">
        <v>45717</v>
      </c>
      <c r="O85" s="6">
        <v>-1890</v>
      </c>
      <c r="P85" t="s">
        <v>65</v>
      </c>
      <c r="Q85" t="s">
        <v>57</v>
      </c>
      <c r="R85" t="s">
        <v>30</v>
      </c>
      <c r="S85" t="s">
        <v>58</v>
      </c>
    </row>
    <row r="86" spans="1:19" x14ac:dyDescent="0.25">
      <c r="A86" t="s">
        <v>27</v>
      </c>
      <c r="B86" t="s">
        <v>27</v>
      </c>
      <c r="C86" t="s">
        <v>27</v>
      </c>
      <c r="D86" s="7">
        <v>45992</v>
      </c>
      <c r="E86" s="6">
        <v>-42780.014999999999</v>
      </c>
      <c r="F86" t="s">
        <v>113</v>
      </c>
      <c r="G86" t="s">
        <v>57</v>
      </c>
      <c r="H86" t="s">
        <v>30</v>
      </c>
      <c r="I86" t="s">
        <v>58</v>
      </c>
      <c r="K86" t="s">
        <v>27</v>
      </c>
      <c r="L86" t="s">
        <v>27</v>
      </c>
      <c r="M86" t="s">
        <v>27</v>
      </c>
      <c r="N86" s="7">
        <v>45748</v>
      </c>
      <c r="O86" s="6">
        <v>-1890</v>
      </c>
      <c r="P86" t="s">
        <v>65</v>
      </c>
      <c r="Q86" t="s">
        <v>57</v>
      </c>
      <c r="R86" t="s">
        <v>30</v>
      </c>
      <c r="S86" t="s">
        <v>58</v>
      </c>
    </row>
    <row r="87" spans="1:19" x14ac:dyDescent="0.25">
      <c r="A87" t="s">
        <v>27</v>
      </c>
      <c r="B87" t="s">
        <v>27</v>
      </c>
      <c r="C87" t="s">
        <v>27</v>
      </c>
      <c r="D87" s="7">
        <v>45992</v>
      </c>
      <c r="E87" s="6">
        <v>-2868.114</v>
      </c>
      <c r="F87" t="s">
        <v>114</v>
      </c>
      <c r="G87" t="s">
        <v>57</v>
      </c>
      <c r="H87" t="s">
        <v>30</v>
      </c>
      <c r="I87" t="s">
        <v>58</v>
      </c>
      <c r="K87" t="s">
        <v>27</v>
      </c>
      <c r="L87" t="s">
        <v>27</v>
      </c>
      <c r="M87" t="s">
        <v>27</v>
      </c>
      <c r="N87" s="7">
        <v>45689</v>
      </c>
      <c r="O87" s="6">
        <v>-40.625</v>
      </c>
      <c r="P87" t="s">
        <v>66</v>
      </c>
      <c r="Q87" t="s">
        <v>57</v>
      </c>
      <c r="R87" t="s">
        <v>30</v>
      </c>
      <c r="S87" t="s">
        <v>58</v>
      </c>
    </row>
    <row r="88" spans="1:19" x14ac:dyDescent="0.25">
      <c r="A88" t="s">
        <v>27</v>
      </c>
      <c r="B88" t="s">
        <v>27</v>
      </c>
      <c r="C88" t="s">
        <v>27</v>
      </c>
      <c r="D88" s="7">
        <v>45992</v>
      </c>
      <c r="E88" s="6">
        <v>-22558.2</v>
      </c>
      <c r="F88" t="s">
        <v>115</v>
      </c>
      <c r="G88" t="s">
        <v>57</v>
      </c>
      <c r="H88" t="s">
        <v>30</v>
      </c>
      <c r="I88" t="s">
        <v>58</v>
      </c>
      <c r="K88" t="s">
        <v>27</v>
      </c>
      <c r="L88" t="s">
        <v>27</v>
      </c>
      <c r="M88" t="s">
        <v>27</v>
      </c>
      <c r="N88" s="7">
        <v>45717</v>
      </c>
      <c r="O88" s="6">
        <v>-40.625</v>
      </c>
      <c r="P88" t="s">
        <v>66</v>
      </c>
      <c r="Q88" t="s">
        <v>57</v>
      </c>
      <c r="R88" t="s">
        <v>30</v>
      </c>
      <c r="S88" t="s">
        <v>58</v>
      </c>
    </row>
    <row r="89" spans="1:19" x14ac:dyDescent="0.25">
      <c r="A89" t="s">
        <v>27</v>
      </c>
      <c r="B89" t="s">
        <v>27</v>
      </c>
      <c r="C89" t="s">
        <v>27</v>
      </c>
      <c r="D89" s="7">
        <v>45992</v>
      </c>
      <c r="E89" s="6">
        <v>-483.39</v>
      </c>
      <c r="F89" t="s">
        <v>116</v>
      </c>
      <c r="G89" t="s">
        <v>57</v>
      </c>
      <c r="H89" t="s">
        <v>30</v>
      </c>
      <c r="I89" t="s">
        <v>58</v>
      </c>
      <c r="K89" t="s">
        <v>27</v>
      </c>
      <c r="L89" t="s">
        <v>27</v>
      </c>
      <c r="M89" t="s">
        <v>27</v>
      </c>
      <c r="N89" s="7">
        <v>45717</v>
      </c>
      <c r="O89" s="6">
        <v>-40.625</v>
      </c>
      <c r="P89" t="s">
        <v>66</v>
      </c>
      <c r="Q89" t="s">
        <v>57</v>
      </c>
      <c r="R89" t="s">
        <v>30</v>
      </c>
      <c r="S89" t="s">
        <v>58</v>
      </c>
    </row>
    <row r="90" spans="1:19" x14ac:dyDescent="0.25">
      <c r="A90" t="s">
        <v>27</v>
      </c>
      <c r="B90" t="s">
        <v>27</v>
      </c>
      <c r="C90" t="s">
        <v>27</v>
      </c>
      <c r="D90" s="7">
        <v>45992</v>
      </c>
      <c r="E90" s="6">
        <v>-483.39</v>
      </c>
      <c r="F90" t="s">
        <v>117</v>
      </c>
      <c r="G90" t="s">
        <v>57</v>
      </c>
      <c r="H90" t="s">
        <v>30</v>
      </c>
      <c r="I90" t="s">
        <v>58</v>
      </c>
      <c r="K90" t="s">
        <v>27</v>
      </c>
      <c r="L90" t="s">
        <v>27</v>
      </c>
      <c r="M90" t="s">
        <v>27</v>
      </c>
      <c r="N90" s="7">
        <v>45748</v>
      </c>
      <c r="O90" s="6">
        <v>-40.625</v>
      </c>
      <c r="P90" t="s">
        <v>66</v>
      </c>
      <c r="Q90" t="s">
        <v>57</v>
      </c>
      <c r="R90" t="s">
        <v>30</v>
      </c>
      <c r="S90" t="s">
        <v>58</v>
      </c>
    </row>
    <row r="91" spans="1:19" x14ac:dyDescent="0.25">
      <c r="A91" t="s">
        <v>27</v>
      </c>
      <c r="B91" t="s">
        <v>27</v>
      </c>
      <c r="C91" t="s">
        <v>27</v>
      </c>
      <c r="D91" s="7">
        <v>45658</v>
      </c>
      <c r="E91" s="6">
        <v>-247.5</v>
      </c>
      <c r="F91" t="s">
        <v>118</v>
      </c>
      <c r="G91" t="s">
        <v>119</v>
      </c>
      <c r="H91" t="s">
        <v>30</v>
      </c>
      <c r="I91" t="s">
        <v>120</v>
      </c>
      <c r="K91" t="s">
        <v>27</v>
      </c>
      <c r="L91" t="s">
        <v>27</v>
      </c>
      <c r="M91" t="s">
        <v>27</v>
      </c>
      <c r="N91" s="7">
        <v>45689</v>
      </c>
      <c r="O91" s="6">
        <v>-41.25</v>
      </c>
      <c r="P91" t="s">
        <v>67</v>
      </c>
      <c r="Q91" t="s">
        <v>57</v>
      </c>
      <c r="R91" t="s">
        <v>30</v>
      </c>
      <c r="S91" t="s">
        <v>58</v>
      </c>
    </row>
    <row r="92" spans="1:19" x14ac:dyDescent="0.25">
      <c r="A92" t="s">
        <v>27</v>
      </c>
      <c r="B92" t="s">
        <v>27</v>
      </c>
      <c r="C92" t="s">
        <v>27</v>
      </c>
      <c r="D92" s="7">
        <v>45689</v>
      </c>
      <c r="E92" s="6">
        <v>-178.20000000000002</v>
      </c>
      <c r="F92" t="s">
        <v>121</v>
      </c>
      <c r="G92" t="s">
        <v>119</v>
      </c>
      <c r="H92" t="s">
        <v>30</v>
      </c>
      <c r="I92" t="s">
        <v>120</v>
      </c>
      <c r="K92" t="s">
        <v>27</v>
      </c>
      <c r="L92" t="s">
        <v>27</v>
      </c>
      <c r="M92" t="s">
        <v>27</v>
      </c>
      <c r="N92" s="7">
        <v>45717</v>
      </c>
      <c r="O92" s="6">
        <v>-41.25</v>
      </c>
      <c r="P92" t="s">
        <v>67</v>
      </c>
      <c r="Q92" t="s">
        <v>57</v>
      </c>
      <c r="R92" t="s">
        <v>30</v>
      </c>
      <c r="S92" t="s">
        <v>58</v>
      </c>
    </row>
    <row r="93" spans="1:19" x14ac:dyDescent="0.25">
      <c r="A93" t="s">
        <v>27</v>
      </c>
      <c r="B93" t="s">
        <v>27</v>
      </c>
      <c r="C93" t="s">
        <v>27</v>
      </c>
      <c r="D93" s="7">
        <v>45717</v>
      </c>
      <c r="E93" s="6">
        <v>-275.31900000000002</v>
      </c>
      <c r="F93" t="s">
        <v>122</v>
      </c>
      <c r="G93" t="s">
        <v>119</v>
      </c>
      <c r="H93" t="s">
        <v>30</v>
      </c>
      <c r="I93" t="s">
        <v>120</v>
      </c>
      <c r="K93" t="s">
        <v>27</v>
      </c>
      <c r="L93" t="s">
        <v>27</v>
      </c>
      <c r="M93" t="s">
        <v>27</v>
      </c>
      <c r="N93" s="7">
        <v>45717</v>
      </c>
      <c r="O93" s="6">
        <v>-41.25</v>
      </c>
      <c r="P93" t="s">
        <v>67</v>
      </c>
      <c r="Q93" t="s">
        <v>57</v>
      </c>
      <c r="R93" t="s">
        <v>30</v>
      </c>
      <c r="S93" t="s">
        <v>58</v>
      </c>
    </row>
    <row r="94" spans="1:19" x14ac:dyDescent="0.25">
      <c r="A94" t="s">
        <v>27</v>
      </c>
      <c r="B94" t="s">
        <v>27</v>
      </c>
      <c r="C94" t="s">
        <v>27</v>
      </c>
      <c r="D94" s="7">
        <v>45658</v>
      </c>
      <c r="E94" s="6">
        <v>-1328.2499999999998</v>
      </c>
      <c r="F94" t="s">
        <v>123</v>
      </c>
      <c r="G94" t="s">
        <v>119</v>
      </c>
      <c r="H94" t="s">
        <v>30</v>
      </c>
      <c r="I94" t="s">
        <v>120</v>
      </c>
      <c r="K94" t="s">
        <v>27</v>
      </c>
      <c r="L94" t="s">
        <v>27</v>
      </c>
      <c r="M94" t="s">
        <v>27</v>
      </c>
      <c r="N94" s="7">
        <v>45748</v>
      </c>
      <c r="O94" s="6">
        <v>-41.25</v>
      </c>
      <c r="P94" t="s">
        <v>67</v>
      </c>
      <c r="Q94" t="s">
        <v>57</v>
      </c>
      <c r="R94" t="s">
        <v>30</v>
      </c>
      <c r="S94" t="s">
        <v>58</v>
      </c>
    </row>
    <row r="95" spans="1:19" x14ac:dyDescent="0.25">
      <c r="A95" t="s">
        <v>27</v>
      </c>
      <c r="B95" t="s">
        <v>27</v>
      </c>
      <c r="C95" t="s">
        <v>27</v>
      </c>
      <c r="D95" s="7">
        <v>45717</v>
      </c>
      <c r="E95" s="6">
        <v>-956.34</v>
      </c>
      <c r="F95" t="s">
        <v>124</v>
      </c>
      <c r="G95" t="s">
        <v>119</v>
      </c>
      <c r="H95" t="s">
        <v>30</v>
      </c>
      <c r="I95" t="s">
        <v>120</v>
      </c>
      <c r="K95" t="s">
        <v>27</v>
      </c>
      <c r="L95" t="s">
        <v>27</v>
      </c>
      <c r="M95" t="s">
        <v>27</v>
      </c>
      <c r="N95" s="7">
        <v>45717</v>
      </c>
      <c r="O95" s="6">
        <v>-5376.375</v>
      </c>
      <c r="P95" t="s">
        <v>68</v>
      </c>
      <c r="Q95" t="s">
        <v>57</v>
      </c>
      <c r="R95" t="s">
        <v>30</v>
      </c>
      <c r="S95" t="s">
        <v>58</v>
      </c>
    </row>
    <row r="96" spans="1:19" x14ac:dyDescent="0.25">
      <c r="A96" t="s">
        <v>27</v>
      </c>
      <c r="B96" t="s">
        <v>27</v>
      </c>
      <c r="C96" t="s">
        <v>27</v>
      </c>
      <c r="D96" s="7">
        <v>45717</v>
      </c>
      <c r="E96" s="6">
        <v>-1477.5453</v>
      </c>
      <c r="F96" t="s">
        <v>124</v>
      </c>
      <c r="G96" t="s">
        <v>119</v>
      </c>
      <c r="H96" t="s">
        <v>30</v>
      </c>
      <c r="I96" t="s">
        <v>120</v>
      </c>
      <c r="K96" t="s">
        <v>27</v>
      </c>
      <c r="L96" t="s">
        <v>27</v>
      </c>
      <c r="M96" t="s">
        <v>27</v>
      </c>
      <c r="N96" s="7">
        <v>45717</v>
      </c>
      <c r="O96" s="6">
        <v>-5376.375</v>
      </c>
      <c r="P96" t="s">
        <v>68</v>
      </c>
      <c r="Q96" t="s">
        <v>57</v>
      </c>
      <c r="R96" t="s">
        <v>30</v>
      </c>
      <c r="S96" t="s">
        <v>58</v>
      </c>
    </row>
    <row r="97" spans="1:19" x14ac:dyDescent="0.25">
      <c r="A97" t="s">
        <v>27</v>
      </c>
      <c r="B97" t="s">
        <v>27</v>
      </c>
      <c r="C97" t="s">
        <v>27</v>
      </c>
      <c r="D97" s="7">
        <v>45748</v>
      </c>
      <c r="E97" s="6">
        <v>-193.74299999999999</v>
      </c>
      <c r="F97" t="s">
        <v>125</v>
      </c>
      <c r="G97" t="s">
        <v>119</v>
      </c>
      <c r="H97" t="s">
        <v>30</v>
      </c>
      <c r="I97" t="s">
        <v>120</v>
      </c>
      <c r="K97" t="s">
        <v>27</v>
      </c>
      <c r="L97" t="s">
        <v>27</v>
      </c>
      <c r="M97" t="s">
        <v>27</v>
      </c>
      <c r="N97" s="7">
        <v>45748</v>
      </c>
      <c r="O97" s="6">
        <v>-5376.375</v>
      </c>
      <c r="P97" t="s">
        <v>68</v>
      </c>
      <c r="Q97" t="s">
        <v>57</v>
      </c>
      <c r="R97" t="s">
        <v>30</v>
      </c>
      <c r="S97" t="s">
        <v>58</v>
      </c>
    </row>
    <row r="98" spans="1:19" x14ac:dyDescent="0.25">
      <c r="A98" t="s">
        <v>27</v>
      </c>
      <c r="B98" t="s">
        <v>27</v>
      </c>
      <c r="C98" t="s">
        <v>27</v>
      </c>
      <c r="D98" s="7">
        <v>45778</v>
      </c>
      <c r="E98" s="6">
        <v>-1039.7541000000001</v>
      </c>
      <c r="F98" t="s">
        <v>126</v>
      </c>
      <c r="G98" t="s">
        <v>119</v>
      </c>
      <c r="H98" t="s">
        <v>30</v>
      </c>
      <c r="I98" t="s">
        <v>120</v>
      </c>
      <c r="K98" t="s">
        <v>27</v>
      </c>
      <c r="L98" t="s">
        <v>27</v>
      </c>
      <c r="M98" t="s">
        <v>27</v>
      </c>
      <c r="N98" s="7">
        <v>45748</v>
      </c>
      <c r="O98" s="6">
        <v>-5376.375</v>
      </c>
      <c r="P98" t="s">
        <v>68</v>
      </c>
      <c r="Q98" t="s">
        <v>57</v>
      </c>
      <c r="R98" t="s">
        <v>30</v>
      </c>
      <c r="S98" t="s">
        <v>58</v>
      </c>
    </row>
    <row r="99" spans="1:19" x14ac:dyDescent="0.25">
      <c r="A99" t="s">
        <v>27</v>
      </c>
      <c r="B99" t="s">
        <v>27</v>
      </c>
      <c r="C99" t="s">
        <v>27</v>
      </c>
      <c r="D99" s="7">
        <v>45778</v>
      </c>
      <c r="E99" s="6">
        <v>-243.91224000000008</v>
      </c>
      <c r="F99" t="s">
        <v>127</v>
      </c>
      <c r="G99" t="s">
        <v>119</v>
      </c>
      <c r="H99" t="s">
        <v>30</v>
      </c>
      <c r="I99" t="s">
        <v>120</v>
      </c>
      <c r="K99" t="s">
        <v>27</v>
      </c>
      <c r="L99" t="s">
        <v>27</v>
      </c>
      <c r="M99" t="s">
        <v>27</v>
      </c>
      <c r="N99" s="7">
        <v>45717</v>
      </c>
      <c r="O99" s="6">
        <v>-360</v>
      </c>
      <c r="P99" t="s">
        <v>69</v>
      </c>
      <c r="Q99" t="s">
        <v>57</v>
      </c>
      <c r="R99" t="s">
        <v>30</v>
      </c>
      <c r="S99" t="s">
        <v>58</v>
      </c>
    </row>
    <row r="100" spans="1:19" x14ac:dyDescent="0.25">
      <c r="A100" t="s">
        <v>27</v>
      </c>
      <c r="B100" t="s">
        <v>27</v>
      </c>
      <c r="C100" t="s">
        <v>27</v>
      </c>
      <c r="D100" s="7">
        <v>45778</v>
      </c>
      <c r="E100" s="6">
        <v>-1308.9956880000004</v>
      </c>
      <c r="F100" t="s">
        <v>126</v>
      </c>
      <c r="G100" t="s">
        <v>119</v>
      </c>
      <c r="H100" t="s">
        <v>30</v>
      </c>
      <c r="I100" t="s">
        <v>120</v>
      </c>
      <c r="K100" t="s">
        <v>27</v>
      </c>
      <c r="L100" t="s">
        <v>27</v>
      </c>
      <c r="M100" t="s">
        <v>27</v>
      </c>
      <c r="N100" s="7">
        <v>45717</v>
      </c>
      <c r="O100" s="6">
        <v>-360</v>
      </c>
      <c r="P100" t="s">
        <v>69</v>
      </c>
      <c r="Q100" t="s">
        <v>57</v>
      </c>
      <c r="R100" t="s">
        <v>30</v>
      </c>
      <c r="S100" t="s">
        <v>58</v>
      </c>
    </row>
    <row r="101" spans="1:19" x14ac:dyDescent="0.25">
      <c r="A101" t="s">
        <v>27</v>
      </c>
      <c r="B101" t="s">
        <v>27</v>
      </c>
      <c r="C101" t="s">
        <v>27</v>
      </c>
      <c r="D101" s="7">
        <v>45809</v>
      </c>
      <c r="E101" s="6">
        <v>-233.30736000000007</v>
      </c>
      <c r="F101" t="s">
        <v>128</v>
      </c>
      <c r="G101" t="s">
        <v>119</v>
      </c>
      <c r="H101" t="s">
        <v>30</v>
      </c>
      <c r="I101" t="s">
        <v>120</v>
      </c>
      <c r="K101" t="s">
        <v>27</v>
      </c>
      <c r="L101" t="s">
        <v>27</v>
      </c>
      <c r="M101" t="s">
        <v>27</v>
      </c>
      <c r="N101" s="7">
        <v>45748</v>
      </c>
      <c r="O101" s="6">
        <v>-360</v>
      </c>
      <c r="P101" t="s">
        <v>69</v>
      </c>
      <c r="Q101" t="s">
        <v>57</v>
      </c>
      <c r="R101" t="s">
        <v>30</v>
      </c>
      <c r="S101" t="s">
        <v>58</v>
      </c>
    </row>
    <row r="102" spans="1:19" x14ac:dyDescent="0.25">
      <c r="A102" t="s">
        <v>27</v>
      </c>
      <c r="B102" t="s">
        <v>27</v>
      </c>
      <c r="C102" t="s">
        <v>27</v>
      </c>
      <c r="D102" s="7">
        <v>45839</v>
      </c>
      <c r="E102" s="6">
        <v>-1252.0828320000005</v>
      </c>
      <c r="F102" t="s">
        <v>129</v>
      </c>
      <c r="G102" t="s">
        <v>119</v>
      </c>
      <c r="H102" t="s">
        <v>30</v>
      </c>
      <c r="I102" t="s">
        <v>120</v>
      </c>
      <c r="K102" t="s">
        <v>27</v>
      </c>
      <c r="L102" t="s">
        <v>27</v>
      </c>
      <c r="M102" t="s">
        <v>27</v>
      </c>
      <c r="N102" s="7">
        <v>45748</v>
      </c>
      <c r="O102" s="6">
        <v>-360</v>
      </c>
      <c r="P102" t="s">
        <v>69</v>
      </c>
      <c r="Q102" t="s">
        <v>57</v>
      </c>
      <c r="R102" t="s">
        <v>30</v>
      </c>
      <c r="S102" t="s">
        <v>58</v>
      </c>
    </row>
    <row r="103" spans="1:19" x14ac:dyDescent="0.25">
      <c r="A103" t="s">
        <v>27</v>
      </c>
      <c r="B103" t="s">
        <v>27</v>
      </c>
      <c r="C103" t="s">
        <v>27</v>
      </c>
      <c r="D103" s="7">
        <v>45839</v>
      </c>
      <c r="E103" s="6">
        <v>-424.19520000000006</v>
      </c>
      <c r="F103" t="s">
        <v>130</v>
      </c>
      <c r="G103" t="s">
        <v>119</v>
      </c>
      <c r="H103" t="s">
        <v>30</v>
      </c>
      <c r="I103" t="s">
        <v>120</v>
      </c>
      <c r="K103" t="s">
        <v>27</v>
      </c>
      <c r="L103" t="s">
        <v>27</v>
      </c>
      <c r="M103" t="s">
        <v>27</v>
      </c>
      <c r="N103" s="7">
        <v>45717</v>
      </c>
      <c r="O103" s="6">
        <v>-2835</v>
      </c>
      <c r="P103" t="s">
        <v>70</v>
      </c>
      <c r="Q103" t="s">
        <v>57</v>
      </c>
      <c r="R103" t="s">
        <v>30</v>
      </c>
      <c r="S103" t="s">
        <v>58</v>
      </c>
    </row>
    <row r="104" spans="1:19" x14ac:dyDescent="0.25">
      <c r="A104" t="s">
        <v>27</v>
      </c>
      <c r="B104" t="s">
        <v>27</v>
      </c>
      <c r="C104" t="s">
        <v>27</v>
      </c>
      <c r="D104" s="7">
        <v>45839</v>
      </c>
      <c r="E104" s="6">
        <v>-2276.51424</v>
      </c>
      <c r="F104" t="s">
        <v>129</v>
      </c>
      <c r="G104" t="s">
        <v>119</v>
      </c>
      <c r="H104" t="s">
        <v>30</v>
      </c>
      <c r="I104" t="s">
        <v>120</v>
      </c>
      <c r="K104" t="s">
        <v>27</v>
      </c>
      <c r="L104" t="s">
        <v>27</v>
      </c>
      <c r="M104" t="s">
        <v>27</v>
      </c>
      <c r="N104" s="7">
        <v>45717</v>
      </c>
      <c r="O104" s="6">
        <v>-2835</v>
      </c>
      <c r="P104" t="s">
        <v>70</v>
      </c>
      <c r="Q104" t="s">
        <v>57</v>
      </c>
      <c r="R104" t="s">
        <v>30</v>
      </c>
      <c r="S104" t="s">
        <v>58</v>
      </c>
    </row>
    <row r="105" spans="1:19" x14ac:dyDescent="0.25">
      <c r="A105" t="s">
        <v>27</v>
      </c>
      <c r="B105" t="s">
        <v>27</v>
      </c>
      <c r="C105" t="s">
        <v>27</v>
      </c>
      <c r="D105" s="7">
        <v>45870</v>
      </c>
      <c r="E105" s="6">
        <v>-378.59421600000019</v>
      </c>
      <c r="F105" t="s">
        <v>131</v>
      </c>
      <c r="G105" t="s">
        <v>119</v>
      </c>
      <c r="H105" t="s">
        <v>30</v>
      </c>
      <c r="I105" t="s">
        <v>120</v>
      </c>
      <c r="K105" t="s">
        <v>27</v>
      </c>
      <c r="L105" t="s">
        <v>27</v>
      </c>
      <c r="M105" t="s">
        <v>27</v>
      </c>
      <c r="N105" s="7">
        <v>45748</v>
      </c>
      <c r="O105" s="6">
        <v>-2835</v>
      </c>
      <c r="P105" t="s">
        <v>70</v>
      </c>
      <c r="Q105" t="s">
        <v>57</v>
      </c>
      <c r="R105" t="s">
        <v>30</v>
      </c>
      <c r="S105" t="s">
        <v>58</v>
      </c>
    </row>
    <row r="106" spans="1:19" x14ac:dyDescent="0.25">
      <c r="A106" t="s">
        <v>27</v>
      </c>
      <c r="B106" t="s">
        <v>27</v>
      </c>
      <c r="C106" t="s">
        <v>27</v>
      </c>
      <c r="D106" s="7">
        <v>45870</v>
      </c>
      <c r="E106" s="6">
        <v>-2031.7889592000008</v>
      </c>
      <c r="F106" t="s">
        <v>132</v>
      </c>
      <c r="G106" t="s">
        <v>119</v>
      </c>
      <c r="H106" t="s">
        <v>30</v>
      </c>
      <c r="I106" t="s">
        <v>120</v>
      </c>
      <c r="K106" t="s">
        <v>27</v>
      </c>
      <c r="L106" t="s">
        <v>27</v>
      </c>
      <c r="M106" t="s">
        <v>27</v>
      </c>
      <c r="N106" s="7">
        <v>45748</v>
      </c>
      <c r="O106" s="6">
        <v>-2835</v>
      </c>
      <c r="P106" t="s">
        <v>70</v>
      </c>
      <c r="Q106" t="s">
        <v>57</v>
      </c>
      <c r="R106" t="s">
        <v>30</v>
      </c>
      <c r="S106" t="s">
        <v>58</v>
      </c>
    </row>
    <row r="107" spans="1:19" x14ac:dyDescent="0.25">
      <c r="A107" t="s">
        <v>27</v>
      </c>
      <c r="B107" t="s">
        <v>27</v>
      </c>
      <c r="C107" t="s">
        <v>27</v>
      </c>
      <c r="D107" s="7">
        <v>45901</v>
      </c>
      <c r="E107" s="6">
        <v>-356.96026080000013</v>
      </c>
      <c r="F107" t="s">
        <v>133</v>
      </c>
      <c r="G107" t="s">
        <v>119</v>
      </c>
      <c r="H107" t="s">
        <v>30</v>
      </c>
      <c r="I107" t="s">
        <v>120</v>
      </c>
      <c r="K107" t="s">
        <v>27</v>
      </c>
      <c r="L107" t="s">
        <v>27</v>
      </c>
      <c r="M107" t="s">
        <v>27</v>
      </c>
      <c r="N107" s="7">
        <v>45717</v>
      </c>
      <c r="O107" s="6">
        <v>-61.25</v>
      </c>
      <c r="P107" t="s">
        <v>71</v>
      </c>
      <c r="Q107" t="s">
        <v>57</v>
      </c>
      <c r="R107" t="s">
        <v>30</v>
      </c>
      <c r="S107" t="s">
        <v>58</v>
      </c>
    </row>
    <row r="108" spans="1:19" x14ac:dyDescent="0.25">
      <c r="A108" t="s">
        <v>27</v>
      </c>
      <c r="B108" t="s">
        <v>27</v>
      </c>
      <c r="C108" t="s">
        <v>27</v>
      </c>
      <c r="D108" s="7">
        <v>45931</v>
      </c>
      <c r="E108" s="6">
        <v>-1915.6867329600009</v>
      </c>
      <c r="F108" t="s">
        <v>134</v>
      </c>
      <c r="G108" t="s">
        <v>119</v>
      </c>
      <c r="H108" t="s">
        <v>30</v>
      </c>
      <c r="I108" t="s">
        <v>120</v>
      </c>
      <c r="K108" t="s">
        <v>27</v>
      </c>
      <c r="L108" t="s">
        <v>27</v>
      </c>
      <c r="M108" t="s">
        <v>27</v>
      </c>
      <c r="N108" s="7">
        <v>45717</v>
      </c>
      <c r="O108" s="6">
        <v>-61.25</v>
      </c>
      <c r="P108" t="s">
        <v>71</v>
      </c>
      <c r="Q108" t="s">
        <v>57</v>
      </c>
      <c r="R108" t="s">
        <v>30</v>
      </c>
      <c r="S108" t="s">
        <v>58</v>
      </c>
    </row>
    <row r="109" spans="1:19" x14ac:dyDescent="0.25">
      <c r="A109" t="s">
        <v>27</v>
      </c>
      <c r="B109" t="s">
        <v>27</v>
      </c>
      <c r="C109" t="s">
        <v>27</v>
      </c>
      <c r="D109" s="7">
        <v>45931</v>
      </c>
      <c r="E109" s="6">
        <v>-335.32630560000013</v>
      </c>
      <c r="F109" t="s">
        <v>135</v>
      </c>
      <c r="G109" t="s">
        <v>119</v>
      </c>
      <c r="H109" t="s">
        <v>30</v>
      </c>
      <c r="I109" t="s">
        <v>120</v>
      </c>
      <c r="K109" t="s">
        <v>27</v>
      </c>
      <c r="L109" t="s">
        <v>27</v>
      </c>
      <c r="M109" t="s">
        <v>27</v>
      </c>
      <c r="N109" s="7">
        <v>45748</v>
      </c>
      <c r="O109" s="6">
        <v>-61.25</v>
      </c>
      <c r="P109" t="s">
        <v>71</v>
      </c>
      <c r="Q109" t="s">
        <v>57</v>
      </c>
      <c r="R109" t="s">
        <v>30</v>
      </c>
      <c r="S109" t="s">
        <v>58</v>
      </c>
    </row>
    <row r="110" spans="1:19" x14ac:dyDescent="0.25">
      <c r="A110" t="s">
        <v>27</v>
      </c>
      <c r="B110" t="s">
        <v>27</v>
      </c>
      <c r="C110" t="s">
        <v>27</v>
      </c>
      <c r="D110" s="7">
        <v>45931</v>
      </c>
      <c r="E110" s="6">
        <v>-1799.5845067200005</v>
      </c>
      <c r="F110" t="s">
        <v>134</v>
      </c>
      <c r="G110" t="s">
        <v>119</v>
      </c>
      <c r="H110" t="s">
        <v>30</v>
      </c>
      <c r="I110" t="s">
        <v>120</v>
      </c>
      <c r="K110" t="s">
        <v>27</v>
      </c>
      <c r="L110" t="s">
        <v>27</v>
      </c>
      <c r="M110" t="s">
        <v>27</v>
      </c>
      <c r="N110" s="7">
        <v>45748</v>
      </c>
      <c r="O110" s="6">
        <v>-61.25</v>
      </c>
      <c r="P110" t="s">
        <v>71</v>
      </c>
      <c r="Q110" t="s">
        <v>57</v>
      </c>
      <c r="R110" t="s">
        <v>30</v>
      </c>
      <c r="S110" t="s">
        <v>58</v>
      </c>
    </row>
    <row r="111" spans="1:19" x14ac:dyDescent="0.25">
      <c r="A111" t="s">
        <v>27</v>
      </c>
      <c r="B111" t="s">
        <v>27</v>
      </c>
      <c r="C111" t="s">
        <v>27</v>
      </c>
      <c r="D111" s="7">
        <v>45962</v>
      </c>
      <c r="E111" s="6">
        <v>-411.04514880000011</v>
      </c>
      <c r="F111" t="s">
        <v>136</v>
      </c>
      <c r="G111" t="s">
        <v>119</v>
      </c>
      <c r="H111" t="s">
        <v>30</v>
      </c>
      <c r="I111" t="s">
        <v>120</v>
      </c>
      <c r="K111" t="s">
        <v>27</v>
      </c>
      <c r="L111" t="s">
        <v>27</v>
      </c>
      <c r="M111" t="s">
        <v>27</v>
      </c>
      <c r="N111" s="7">
        <v>45717</v>
      </c>
      <c r="O111" s="6">
        <v>-61.25</v>
      </c>
      <c r="P111" t="s">
        <v>72</v>
      </c>
      <c r="Q111" t="s">
        <v>57</v>
      </c>
      <c r="R111" t="s">
        <v>30</v>
      </c>
      <c r="S111" t="s">
        <v>58</v>
      </c>
    </row>
    <row r="112" spans="1:19" x14ac:dyDescent="0.25">
      <c r="A112" t="s">
        <v>27</v>
      </c>
      <c r="B112" t="s">
        <v>27</v>
      </c>
      <c r="C112" t="s">
        <v>27</v>
      </c>
      <c r="D112" s="7">
        <v>45992</v>
      </c>
      <c r="E112" s="6">
        <v>-2205.9422985600004</v>
      </c>
      <c r="F112" t="s">
        <v>137</v>
      </c>
      <c r="G112" t="s">
        <v>119</v>
      </c>
      <c r="H112" t="s">
        <v>30</v>
      </c>
      <c r="I112" t="s">
        <v>120</v>
      </c>
      <c r="K112" t="s">
        <v>27</v>
      </c>
      <c r="L112" t="s">
        <v>27</v>
      </c>
      <c r="M112" t="s">
        <v>27</v>
      </c>
      <c r="N112" s="7">
        <v>45717</v>
      </c>
      <c r="O112" s="6">
        <v>-61.25</v>
      </c>
      <c r="P112" t="s">
        <v>72</v>
      </c>
      <c r="Q112" t="s">
        <v>57</v>
      </c>
      <c r="R112" t="s">
        <v>30</v>
      </c>
      <c r="S112" t="s">
        <v>58</v>
      </c>
    </row>
    <row r="113" spans="1:19" x14ac:dyDescent="0.25">
      <c r="A113" t="s">
        <v>27</v>
      </c>
      <c r="B113" t="s">
        <v>27</v>
      </c>
      <c r="C113" t="s">
        <v>27</v>
      </c>
      <c r="D113" s="7">
        <v>45992</v>
      </c>
      <c r="E113" s="6">
        <v>-540.84888000000012</v>
      </c>
      <c r="F113" t="s">
        <v>138</v>
      </c>
      <c r="G113" t="s">
        <v>119</v>
      </c>
      <c r="H113" t="s">
        <v>30</v>
      </c>
      <c r="I113" t="s">
        <v>120</v>
      </c>
      <c r="K113" t="s">
        <v>27</v>
      </c>
      <c r="L113" t="s">
        <v>27</v>
      </c>
      <c r="M113" t="s">
        <v>27</v>
      </c>
      <c r="N113" s="7">
        <v>45748</v>
      </c>
      <c r="O113" s="6">
        <v>-61.25</v>
      </c>
      <c r="P113" t="s">
        <v>72</v>
      </c>
      <c r="Q113" t="s">
        <v>57</v>
      </c>
      <c r="R113" t="s">
        <v>30</v>
      </c>
      <c r="S113" t="s">
        <v>58</v>
      </c>
    </row>
    <row r="114" spans="1:19" x14ac:dyDescent="0.25">
      <c r="A114" t="s">
        <v>27</v>
      </c>
      <c r="B114" t="s">
        <v>27</v>
      </c>
      <c r="C114" t="s">
        <v>27</v>
      </c>
      <c r="D114" s="7">
        <v>45992</v>
      </c>
      <c r="E114" s="6">
        <v>-2902.5556560000005</v>
      </c>
      <c r="F114" t="s">
        <v>137</v>
      </c>
      <c r="G114" t="s">
        <v>119</v>
      </c>
      <c r="H114" t="s">
        <v>30</v>
      </c>
      <c r="I114" t="s">
        <v>120</v>
      </c>
      <c r="K114" t="s">
        <v>27</v>
      </c>
      <c r="L114" t="s">
        <v>27</v>
      </c>
      <c r="M114" t="s">
        <v>27</v>
      </c>
      <c r="N114" s="7">
        <v>45748</v>
      </c>
      <c r="O114" s="6">
        <v>-61.25</v>
      </c>
      <c r="P114" t="s">
        <v>72</v>
      </c>
      <c r="Q114" t="s">
        <v>57</v>
      </c>
      <c r="R114" t="s">
        <v>30</v>
      </c>
      <c r="S114" t="s">
        <v>58</v>
      </c>
    </row>
    <row r="115" spans="1:19" x14ac:dyDescent="0.25">
      <c r="A115" t="s">
        <v>27</v>
      </c>
      <c r="B115" t="s">
        <v>27</v>
      </c>
      <c r="C115" t="s">
        <v>27</v>
      </c>
      <c r="D115" s="7">
        <v>45658</v>
      </c>
      <c r="E115" s="6">
        <v>-4125</v>
      </c>
      <c r="F115" t="s">
        <v>139</v>
      </c>
      <c r="G115" t="s">
        <v>140</v>
      </c>
      <c r="H115" t="s">
        <v>30</v>
      </c>
      <c r="I115" t="s">
        <v>120</v>
      </c>
      <c r="K115" t="s">
        <v>27</v>
      </c>
      <c r="L115" t="s">
        <v>27</v>
      </c>
      <c r="M115" t="s">
        <v>27</v>
      </c>
      <c r="N115" s="7">
        <v>45748</v>
      </c>
      <c r="O115" s="6">
        <v>-3877.9593749999999</v>
      </c>
      <c r="P115" t="s">
        <v>73</v>
      </c>
      <c r="Q115" t="s">
        <v>57</v>
      </c>
      <c r="R115" t="s">
        <v>30</v>
      </c>
      <c r="S115" t="s">
        <v>58</v>
      </c>
    </row>
    <row r="116" spans="1:19" x14ac:dyDescent="0.25">
      <c r="A116" t="s">
        <v>27</v>
      </c>
      <c r="B116" t="s">
        <v>27</v>
      </c>
      <c r="C116" t="s">
        <v>27</v>
      </c>
      <c r="D116" s="7">
        <v>45689</v>
      </c>
      <c r="E116" s="6">
        <v>-2970.0000000000005</v>
      </c>
      <c r="F116" t="s">
        <v>139</v>
      </c>
      <c r="G116" t="s">
        <v>140</v>
      </c>
      <c r="H116" t="s">
        <v>30</v>
      </c>
      <c r="I116" t="s">
        <v>120</v>
      </c>
      <c r="K116" t="s">
        <v>27</v>
      </c>
      <c r="L116" t="s">
        <v>27</v>
      </c>
      <c r="M116" t="s">
        <v>27</v>
      </c>
      <c r="N116" s="7">
        <v>45778</v>
      </c>
      <c r="O116" s="6">
        <v>-3877.9593749999999</v>
      </c>
      <c r="P116" t="s">
        <v>73</v>
      </c>
      <c r="Q116" t="s">
        <v>57</v>
      </c>
      <c r="R116" t="s">
        <v>30</v>
      </c>
      <c r="S116" t="s">
        <v>58</v>
      </c>
    </row>
    <row r="117" spans="1:19" x14ac:dyDescent="0.25">
      <c r="A117" t="s">
        <v>27</v>
      </c>
      <c r="B117" t="s">
        <v>27</v>
      </c>
      <c r="C117" t="s">
        <v>27</v>
      </c>
      <c r="D117" s="7">
        <v>45717</v>
      </c>
      <c r="E117" s="6">
        <v>-4588.6500000000005</v>
      </c>
      <c r="F117" t="s">
        <v>139</v>
      </c>
      <c r="G117" t="s">
        <v>140</v>
      </c>
      <c r="H117" t="s">
        <v>30</v>
      </c>
      <c r="I117" t="s">
        <v>120</v>
      </c>
      <c r="K117" t="s">
        <v>27</v>
      </c>
      <c r="L117" t="s">
        <v>27</v>
      </c>
      <c r="M117" t="s">
        <v>27</v>
      </c>
      <c r="N117" s="7">
        <v>45778</v>
      </c>
      <c r="O117" s="6">
        <v>-3877.9593749999999</v>
      </c>
      <c r="P117" t="s">
        <v>73</v>
      </c>
      <c r="Q117" t="s">
        <v>57</v>
      </c>
      <c r="R117" t="s">
        <v>30</v>
      </c>
      <c r="S117" t="s">
        <v>58</v>
      </c>
    </row>
    <row r="118" spans="1:19" x14ac:dyDescent="0.25">
      <c r="A118" t="s">
        <v>27</v>
      </c>
      <c r="B118" t="s">
        <v>27</v>
      </c>
      <c r="C118" t="s">
        <v>27</v>
      </c>
      <c r="D118" s="7">
        <v>45748</v>
      </c>
      <c r="E118" s="6">
        <v>-3229.0500000000006</v>
      </c>
      <c r="F118" t="s">
        <v>139</v>
      </c>
      <c r="G118" t="s">
        <v>140</v>
      </c>
      <c r="H118" t="s">
        <v>30</v>
      </c>
      <c r="I118" t="s">
        <v>120</v>
      </c>
      <c r="K118" t="s">
        <v>27</v>
      </c>
      <c r="L118" t="s">
        <v>27</v>
      </c>
      <c r="M118" t="s">
        <v>27</v>
      </c>
      <c r="N118" s="7">
        <v>45778</v>
      </c>
      <c r="O118" s="6">
        <v>-3877.9593749999999</v>
      </c>
      <c r="P118" t="s">
        <v>73</v>
      </c>
      <c r="Q118" t="s">
        <v>57</v>
      </c>
      <c r="R118" t="s">
        <v>30</v>
      </c>
      <c r="S118" t="s">
        <v>58</v>
      </c>
    </row>
    <row r="119" spans="1:19" x14ac:dyDescent="0.25">
      <c r="A119" t="s">
        <v>27</v>
      </c>
      <c r="B119" t="s">
        <v>27</v>
      </c>
      <c r="C119" t="s">
        <v>27</v>
      </c>
      <c r="D119" s="7">
        <v>45778</v>
      </c>
      <c r="E119" s="6">
        <v>-4065.2040000000015</v>
      </c>
      <c r="F119" t="s">
        <v>139</v>
      </c>
      <c r="G119" t="s">
        <v>140</v>
      </c>
      <c r="H119" t="s">
        <v>30</v>
      </c>
      <c r="I119" t="s">
        <v>120</v>
      </c>
      <c r="K119" t="s">
        <v>27</v>
      </c>
      <c r="L119" t="s">
        <v>27</v>
      </c>
      <c r="M119" t="s">
        <v>27</v>
      </c>
      <c r="N119" s="7">
        <v>45748</v>
      </c>
      <c r="O119" s="6">
        <v>-261.375</v>
      </c>
      <c r="P119" t="s">
        <v>74</v>
      </c>
      <c r="Q119" t="s">
        <v>57</v>
      </c>
      <c r="R119" t="s">
        <v>30</v>
      </c>
      <c r="S119" t="s">
        <v>58</v>
      </c>
    </row>
    <row r="120" spans="1:19" x14ac:dyDescent="0.25">
      <c r="A120" t="s">
        <v>27</v>
      </c>
      <c r="B120" t="s">
        <v>27</v>
      </c>
      <c r="C120" t="s">
        <v>27</v>
      </c>
      <c r="D120" s="7">
        <v>45809</v>
      </c>
      <c r="E120" s="6">
        <v>-3888.4560000000015</v>
      </c>
      <c r="F120" t="s">
        <v>139</v>
      </c>
      <c r="G120" t="s">
        <v>140</v>
      </c>
      <c r="H120" t="s">
        <v>30</v>
      </c>
      <c r="I120" t="s">
        <v>120</v>
      </c>
      <c r="K120" t="s">
        <v>27</v>
      </c>
      <c r="L120" t="s">
        <v>27</v>
      </c>
      <c r="M120" t="s">
        <v>27</v>
      </c>
      <c r="N120" s="7">
        <v>45778</v>
      </c>
      <c r="O120" s="6">
        <v>-261.375</v>
      </c>
      <c r="P120" t="s">
        <v>74</v>
      </c>
      <c r="Q120" t="s">
        <v>57</v>
      </c>
      <c r="R120" t="s">
        <v>30</v>
      </c>
      <c r="S120" t="s">
        <v>58</v>
      </c>
    </row>
    <row r="121" spans="1:19" x14ac:dyDescent="0.25">
      <c r="A121" t="s">
        <v>27</v>
      </c>
      <c r="B121" t="s">
        <v>27</v>
      </c>
      <c r="C121" t="s">
        <v>27</v>
      </c>
      <c r="D121" s="7">
        <v>45839</v>
      </c>
      <c r="E121" s="6">
        <v>-7069.9200000000019</v>
      </c>
      <c r="F121" t="s">
        <v>139</v>
      </c>
      <c r="G121" t="s">
        <v>140</v>
      </c>
      <c r="H121" t="s">
        <v>30</v>
      </c>
      <c r="I121" t="s">
        <v>120</v>
      </c>
      <c r="K121" t="s">
        <v>27</v>
      </c>
      <c r="L121" t="s">
        <v>27</v>
      </c>
      <c r="M121" t="s">
        <v>27</v>
      </c>
      <c r="N121" s="7">
        <v>45778</v>
      </c>
      <c r="O121" s="6">
        <v>-261.375</v>
      </c>
      <c r="P121" t="s">
        <v>74</v>
      </c>
      <c r="Q121" t="s">
        <v>57</v>
      </c>
      <c r="R121" t="s">
        <v>30</v>
      </c>
      <c r="S121" t="s">
        <v>58</v>
      </c>
    </row>
    <row r="122" spans="1:19" x14ac:dyDescent="0.25">
      <c r="A122" t="s">
        <v>27</v>
      </c>
      <c r="B122" t="s">
        <v>27</v>
      </c>
      <c r="C122" t="s">
        <v>27</v>
      </c>
      <c r="D122" s="7">
        <v>45870</v>
      </c>
      <c r="E122" s="6">
        <v>-6309.9036000000024</v>
      </c>
      <c r="F122" t="s">
        <v>139</v>
      </c>
      <c r="G122" t="s">
        <v>140</v>
      </c>
      <c r="H122" t="s">
        <v>30</v>
      </c>
      <c r="I122" t="s">
        <v>120</v>
      </c>
      <c r="K122" t="s">
        <v>27</v>
      </c>
      <c r="L122" t="s">
        <v>27</v>
      </c>
      <c r="M122" t="s">
        <v>27</v>
      </c>
      <c r="N122" s="7">
        <v>45778</v>
      </c>
      <c r="O122" s="6">
        <v>-261.375</v>
      </c>
      <c r="P122" t="s">
        <v>74</v>
      </c>
      <c r="Q122" t="s">
        <v>57</v>
      </c>
      <c r="R122" t="s">
        <v>30</v>
      </c>
      <c r="S122" t="s">
        <v>58</v>
      </c>
    </row>
    <row r="123" spans="1:19" x14ac:dyDescent="0.25">
      <c r="A123" t="s">
        <v>27</v>
      </c>
      <c r="B123" t="s">
        <v>27</v>
      </c>
      <c r="C123" t="s">
        <v>27</v>
      </c>
      <c r="D123" s="7">
        <v>45901</v>
      </c>
      <c r="E123" s="6">
        <v>-5949.3376800000024</v>
      </c>
      <c r="F123" t="s">
        <v>139</v>
      </c>
      <c r="G123" t="s">
        <v>140</v>
      </c>
      <c r="H123" t="s">
        <v>30</v>
      </c>
      <c r="I123" t="s">
        <v>120</v>
      </c>
      <c r="K123" t="s">
        <v>27</v>
      </c>
      <c r="L123" t="s">
        <v>27</v>
      </c>
      <c r="M123" t="s">
        <v>27</v>
      </c>
      <c r="N123" s="7">
        <v>45748</v>
      </c>
      <c r="O123" s="6">
        <v>-2044.875</v>
      </c>
      <c r="P123" t="s">
        <v>75</v>
      </c>
      <c r="Q123" t="s">
        <v>57</v>
      </c>
      <c r="R123" t="s">
        <v>30</v>
      </c>
      <c r="S123" t="s">
        <v>58</v>
      </c>
    </row>
    <row r="124" spans="1:19" x14ac:dyDescent="0.25">
      <c r="A124" t="s">
        <v>27</v>
      </c>
      <c r="B124" t="s">
        <v>27</v>
      </c>
      <c r="C124" t="s">
        <v>27</v>
      </c>
      <c r="D124" s="7">
        <v>45931</v>
      </c>
      <c r="E124" s="6">
        <v>-5588.7717600000024</v>
      </c>
      <c r="F124" t="s">
        <v>139</v>
      </c>
      <c r="G124" t="s">
        <v>140</v>
      </c>
      <c r="H124" t="s">
        <v>30</v>
      </c>
      <c r="I124" t="s">
        <v>120</v>
      </c>
      <c r="K124" t="s">
        <v>27</v>
      </c>
      <c r="L124" t="s">
        <v>27</v>
      </c>
      <c r="M124" t="s">
        <v>27</v>
      </c>
      <c r="N124" s="7">
        <v>45778</v>
      </c>
      <c r="O124" s="6">
        <v>-2044.875</v>
      </c>
      <c r="P124" t="s">
        <v>75</v>
      </c>
      <c r="Q124" t="s">
        <v>57</v>
      </c>
      <c r="R124" t="s">
        <v>30</v>
      </c>
      <c r="S124" t="s">
        <v>58</v>
      </c>
    </row>
    <row r="125" spans="1:19" x14ac:dyDescent="0.25">
      <c r="A125" t="s">
        <v>27</v>
      </c>
      <c r="B125" t="s">
        <v>27</v>
      </c>
      <c r="C125" t="s">
        <v>27</v>
      </c>
      <c r="D125" s="7">
        <v>45962</v>
      </c>
      <c r="E125" s="6">
        <v>-6850.7524800000019</v>
      </c>
      <c r="F125" t="s">
        <v>139</v>
      </c>
      <c r="G125" t="s">
        <v>140</v>
      </c>
      <c r="H125" t="s">
        <v>30</v>
      </c>
      <c r="I125" t="s">
        <v>120</v>
      </c>
      <c r="K125" t="s">
        <v>27</v>
      </c>
      <c r="L125" t="s">
        <v>27</v>
      </c>
      <c r="M125" t="s">
        <v>27</v>
      </c>
      <c r="N125" s="7">
        <v>45778</v>
      </c>
      <c r="O125" s="6">
        <v>-2044.875</v>
      </c>
      <c r="P125" t="s">
        <v>75</v>
      </c>
      <c r="Q125" t="s">
        <v>57</v>
      </c>
      <c r="R125" t="s">
        <v>30</v>
      </c>
      <c r="S125" t="s">
        <v>58</v>
      </c>
    </row>
    <row r="126" spans="1:19" x14ac:dyDescent="0.25">
      <c r="A126" t="s">
        <v>27</v>
      </c>
      <c r="B126" t="s">
        <v>27</v>
      </c>
      <c r="C126" t="s">
        <v>27</v>
      </c>
      <c r="D126" s="7">
        <v>45992</v>
      </c>
      <c r="E126" s="6">
        <v>-9014.1480000000029</v>
      </c>
      <c r="F126" t="s">
        <v>139</v>
      </c>
      <c r="G126" t="s">
        <v>140</v>
      </c>
      <c r="H126" t="s">
        <v>30</v>
      </c>
      <c r="I126" t="s">
        <v>120</v>
      </c>
      <c r="K126" t="s">
        <v>27</v>
      </c>
      <c r="L126" t="s">
        <v>27</v>
      </c>
      <c r="M126" t="s">
        <v>27</v>
      </c>
      <c r="N126" s="7">
        <v>45778</v>
      </c>
      <c r="O126" s="6">
        <v>-2044.875</v>
      </c>
      <c r="P126" t="s">
        <v>75</v>
      </c>
      <c r="Q126" t="s">
        <v>57</v>
      </c>
      <c r="R126" t="s">
        <v>30</v>
      </c>
      <c r="S126" t="s">
        <v>58</v>
      </c>
    </row>
    <row r="127" spans="1:19" x14ac:dyDescent="0.25">
      <c r="A127" t="s">
        <v>27</v>
      </c>
      <c r="B127" t="s">
        <v>27</v>
      </c>
      <c r="C127" t="s">
        <v>27</v>
      </c>
      <c r="D127" s="7">
        <v>45658</v>
      </c>
      <c r="E127" s="6">
        <v>-5775.0000000000009</v>
      </c>
      <c r="F127" t="s">
        <v>141</v>
      </c>
      <c r="G127" t="s">
        <v>142</v>
      </c>
      <c r="H127" t="s">
        <v>30</v>
      </c>
      <c r="I127" t="s">
        <v>120</v>
      </c>
      <c r="K127" t="s">
        <v>27</v>
      </c>
      <c r="L127" t="s">
        <v>27</v>
      </c>
      <c r="M127" t="s">
        <v>27</v>
      </c>
      <c r="N127" s="7">
        <v>45748</v>
      </c>
      <c r="O127" s="6">
        <v>-44.203125</v>
      </c>
      <c r="P127" t="s">
        <v>76</v>
      </c>
      <c r="Q127" t="s">
        <v>57</v>
      </c>
      <c r="R127" t="s">
        <v>30</v>
      </c>
      <c r="S127" t="s">
        <v>58</v>
      </c>
    </row>
    <row r="128" spans="1:19" x14ac:dyDescent="0.25">
      <c r="A128" t="s">
        <v>27</v>
      </c>
      <c r="B128" t="s">
        <v>27</v>
      </c>
      <c r="C128" t="s">
        <v>27</v>
      </c>
      <c r="D128" s="7">
        <v>45689</v>
      </c>
      <c r="E128" s="6">
        <v>-4158.0000000000009</v>
      </c>
      <c r="F128" t="s">
        <v>141</v>
      </c>
      <c r="G128" t="s">
        <v>142</v>
      </c>
      <c r="H128" t="s">
        <v>30</v>
      </c>
      <c r="I128" t="s">
        <v>120</v>
      </c>
      <c r="K128" t="s">
        <v>27</v>
      </c>
      <c r="L128" t="s">
        <v>27</v>
      </c>
      <c r="M128" t="s">
        <v>27</v>
      </c>
      <c r="N128" s="7">
        <v>45778</v>
      </c>
      <c r="O128" s="6">
        <v>-44.203125</v>
      </c>
      <c r="P128" t="s">
        <v>76</v>
      </c>
      <c r="Q128" t="s">
        <v>57</v>
      </c>
      <c r="R128" t="s">
        <v>30</v>
      </c>
      <c r="S128" t="s">
        <v>58</v>
      </c>
    </row>
    <row r="129" spans="1:19" x14ac:dyDescent="0.25">
      <c r="A129" t="s">
        <v>27</v>
      </c>
      <c r="B129" t="s">
        <v>27</v>
      </c>
      <c r="C129" t="s">
        <v>27</v>
      </c>
      <c r="D129" s="7">
        <v>45717</v>
      </c>
      <c r="E129" s="6">
        <v>-6424.1100000000015</v>
      </c>
      <c r="F129" t="s">
        <v>141</v>
      </c>
      <c r="G129" t="s">
        <v>142</v>
      </c>
      <c r="H129" t="s">
        <v>30</v>
      </c>
      <c r="I129" t="s">
        <v>120</v>
      </c>
      <c r="K129" t="s">
        <v>27</v>
      </c>
      <c r="L129" t="s">
        <v>27</v>
      </c>
      <c r="M129" t="s">
        <v>27</v>
      </c>
      <c r="N129" s="7">
        <v>45778</v>
      </c>
      <c r="O129" s="6">
        <v>-44.203125</v>
      </c>
      <c r="P129" t="s">
        <v>76</v>
      </c>
      <c r="Q129" t="s">
        <v>57</v>
      </c>
      <c r="R129" t="s">
        <v>30</v>
      </c>
      <c r="S129" t="s">
        <v>58</v>
      </c>
    </row>
    <row r="130" spans="1:19" x14ac:dyDescent="0.25">
      <c r="A130" t="s">
        <v>27</v>
      </c>
      <c r="B130" t="s">
        <v>27</v>
      </c>
      <c r="C130" t="s">
        <v>27</v>
      </c>
      <c r="D130" s="7">
        <v>45748</v>
      </c>
      <c r="E130" s="6">
        <v>-4520.670000000001</v>
      </c>
      <c r="F130" t="s">
        <v>141</v>
      </c>
      <c r="G130" t="s">
        <v>142</v>
      </c>
      <c r="H130" t="s">
        <v>30</v>
      </c>
      <c r="I130" t="s">
        <v>120</v>
      </c>
      <c r="K130" t="s">
        <v>27</v>
      </c>
      <c r="L130" t="s">
        <v>27</v>
      </c>
      <c r="M130" t="s">
        <v>27</v>
      </c>
      <c r="N130" s="7">
        <v>45778</v>
      </c>
      <c r="O130" s="6">
        <v>-44.203125</v>
      </c>
      <c r="P130" t="s">
        <v>76</v>
      </c>
      <c r="Q130" t="s">
        <v>57</v>
      </c>
      <c r="R130" t="s">
        <v>30</v>
      </c>
      <c r="S130" t="s">
        <v>58</v>
      </c>
    </row>
    <row r="131" spans="1:19" x14ac:dyDescent="0.25">
      <c r="A131" t="s">
        <v>27</v>
      </c>
      <c r="B131" t="s">
        <v>27</v>
      </c>
      <c r="C131" t="s">
        <v>27</v>
      </c>
      <c r="D131" s="7">
        <v>45778</v>
      </c>
      <c r="E131" s="6">
        <v>-5691.2856000000029</v>
      </c>
      <c r="F131" t="s">
        <v>141</v>
      </c>
      <c r="G131" t="s">
        <v>142</v>
      </c>
      <c r="H131" t="s">
        <v>30</v>
      </c>
      <c r="I131" t="s">
        <v>120</v>
      </c>
      <c r="K131" t="s">
        <v>27</v>
      </c>
      <c r="L131" t="s">
        <v>27</v>
      </c>
      <c r="M131" t="s">
        <v>27</v>
      </c>
      <c r="N131" s="7">
        <v>45748</v>
      </c>
      <c r="O131" s="6">
        <v>-44.84375</v>
      </c>
      <c r="P131" t="s">
        <v>77</v>
      </c>
      <c r="Q131" t="s">
        <v>57</v>
      </c>
      <c r="R131" t="s">
        <v>30</v>
      </c>
      <c r="S131" t="s">
        <v>58</v>
      </c>
    </row>
    <row r="132" spans="1:19" x14ac:dyDescent="0.25">
      <c r="A132" t="s">
        <v>27</v>
      </c>
      <c r="B132" t="s">
        <v>27</v>
      </c>
      <c r="C132" t="s">
        <v>27</v>
      </c>
      <c r="D132" s="7">
        <v>45809</v>
      </c>
      <c r="E132" s="6">
        <v>-5443.8384000000024</v>
      </c>
      <c r="F132" t="s">
        <v>141</v>
      </c>
      <c r="G132" t="s">
        <v>142</v>
      </c>
      <c r="H132" t="s">
        <v>30</v>
      </c>
      <c r="I132" t="s">
        <v>120</v>
      </c>
      <c r="K132" t="s">
        <v>27</v>
      </c>
      <c r="L132" t="s">
        <v>27</v>
      </c>
      <c r="M132" t="s">
        <v>27</v>
      </c>
      <c r="N132" s="7">
        <v>45778</v>
      </c>
      <c r="O132" s="6">
        <v>-44.84375</v>
      </c>
      <c r="P132" t="s">
        <v>77</v>
      </c>
      <c r="Q132" t="s">
        <v>57</v>
      </c>
      <c r="R132" t="s">
        <v>30</v>
      </c>
      <c r="S132" t="s">
        <v>58</v>
      </c>
    </row>
    <row r="133" spans="1:19" x14ac:dyDescent="0.25">
      <c r="A133" t="s">
        <v>27</v>
      </c>
      <c r="B133" t="s">
        <v>27</v>
      </c>
      <c r="C133" t="s">
        <v>27</v>
      </c>
      <c r="D133" s="7">
        <v>45839</v>
      </c>
      <c r="E133" s="6">
        <v>-9897.8880000000026</v>
      </c>
      <c r="F133" t="s">
        <v>141</v>
      </c>
      <c r="G133" t="s">
        <v>142</v>
      </c>
      <c r="H133" t="s">
        <v>30</v>
      </c>
      <c r="I133" t="s">
        <v>120</v>
      </c>
      <c r="K133" t="s">
        <v>27</v>
      </c>
      <c r="L133" t="s">
        <v>27</v>
      </c>
      <c r="M133" t="s">
        <v>27</v>
      </c>
      <c r="N133" s="7">
        <v>45778</v>
      </c>
      <c r="O133" s="6">
        <v>-44.84375</v>
      </c>
      <c r="P133" t="s">
        <v>77</v>
      </c>
      <c r="Q133" t="s">
        <v>57</v>
      </c>
      <c r="R133" t="s">
        <v>30</v>
      </c>
      <c r="S133" t="s">
        <v>58</v>
      </c>
    </row>
    <row r="134" spans="1:19" x14ac:dyDescent="0.25">
      <c r="A134" t="s">
        <v>27</v>
      </c>
      <c r="B134" t="s">
        <v>27</v>
      </c>
      <c r="C134" t="s">
        <v>27</v>
      </c>
      <c r="D134" s="7">
        <v>45870</v>
      </c>
      <c r="E134" s="6">
        <v>-8833.8650400000042</v>
      </c>
      <c r="F134" t="s">
        <v>141</v>
      </c>
      <c r="G134" t="s">
        <v>142</v>
      </c>
      <c r="H134" t="s">
        <v>30</v>
      </c>
      <c r="I134" t="s">
        <v>120</v>
      </c>
      <c r="K134" t="s">
        <v>27</v>
      </c>
      <c r="L134" t="s">
        <v>27</v>
      </c>
      <c r="M134" t="s">
        <v>27</v>
      </c>
      <c r="N134" s="7">
        <v>45778</v>
      </c>
      <c r="O134" s="6">
        <v>-44.84375</v>
      </c>
      <c r="P134" t="s">
        <v>77</v>
      </c>
      <c r="Q134" t="s">
        <v>57</v>
      </c>
      <c r="R134" t="s">
        <v>30</v>
      </c>
      <c r="S134" t="s">
        <v>58</v>
      </c>
    </row>
    <row r="135" spans="1:19" x14ac:dyDescent="0.25">
      <c r="A135" t="s">
        <v>27</v>
      </c>
      <c r="B135" t="s">
        <v>27</v>
      </c>
      <c r="C135" t="s">
        <v>27</v>
      </c>
      <c r="D135" s="7">
        <v>45901</v>
      </c>
      <c r="E135" s="6">
        <v>-8329.0727520000037</v>
      </c>
      <c r="F135" t="s">
        <v>141</v>
      </c>
      <c r="G135" t="s">
        <v>142</v>
      </c>
      <c r="H135" t="s">
        <v>30</v>
      </c>
      <c r="I135" t="s">
        <v>120</v>
      </c>
      <c r="K135" t="s">
        <v>27</v>
      </c>
      <c r="L135" t="s">
        <v>27</v>
      </c>
      <c r="M135" t="s">
        <v>27</v>
      </c>
      <c r="N135" s="7">
        <v>45778</v>
      </c>
      <c r="O135" s="6">
        <v>-4694.3718749999998</v>
      </c>
      <c r="P135" t="s">
        <v>78</v>
      </c>
      <c r="Q135" t="s">
        <v>57</v>
      </c>
      <c r="R135" t="s">
        <v>30</v>
      </c>
      <c r="S135" t="s">
        <v>58</v>
      </c>
    </row>
    <row r="136" spans="1:19" x14ac:dyDescent="0.25">
      <c r="A136" t="s">
        <v>27</v>
      </c>
      <c r="B136" t="s">
        <v>27</v>
      </c>
      <c r="C136" t="s">
        <v>27</v>
      </c>
      <c r="D136" s="7">
        <v>45931</v>
      </c>
      <c r="E136" s="6">
        <v>-7824.2804640000031</v>
      </c>
      <c r="F136" t="s">
        <v>141</v>
      </c>
      <c r="G136" t="s">
        <v>142</v>
      </c>
      <c r="H136" t="s">
        <v>30</v>
      </c>
      <c r="I136" t="s">
        <v>120</v>
      </c>
      <c r="K136" t="s">
        <v>27</v>
      </c>
      <c r="L136" t="s">
        <v>27</v>
      </c>
      <c r="M136" t="s">
        <v>27</v>
      </c>
      <c r="N136" s="7">
        <v>45778</v>
      </c>
      <c r="O136" s="6">
        <v>-4694.3718749999998</v>
      </c>
      <c r="P136" t="s">
        <v>78</v>
      </c>
      <c r="Q136" t="s">
        <v>57</v>
      </c>
      <c r="R136" t="s">
        <v>30</v>
      </c>
      <c r="S136" t="s">
        <v>58</v>
      </c>
    </row>
    <row r="137" spans="1:19" x14ac:dyDescent="0.25">
      <c r="A137" t="s">
        <v>27</v>
      </c>
      <c r="B137" t="s">
        <v>27</v>
      </c>
      <c r="C137" t="s">
        <v>27</v>
      </c>
      <c r="D137" s="7">
        <v>45962</v>
      </c>
      <c r="E137" s="6">
        <v>-9591.0534720000032</v>
      </c>
      <c r="F137" t="s">
        <v>141</v>
      </c>
      <c r="G137" t="s">
        <v>142</v>
      </c>
      <c r="H137" t="s">
        <v>30</v>
      </c>
      <c r="I137" t="s">
        <v>120</v>
      </c>
      <c r="K137" t="s">
        <v>27</v>
      </c>
      <c r="L137" t="s">
        <v>27</v>
      </c>
      <c r="M137" t="s">
        <v>27</v>
      </c>
      <c r="N137" s="7">
        <v>45809</v>
      </c>
      <c r="O137" s="6">
        <v>-4694.3718749999998</v>
      </c>
      <c r="P137" t="s">
        <v>78</v>
      </c>
      <c r="Q137" t="s">
        <v>57</v>
      </c>
      <c r="R137" t="s">
        <v>30</v>
      </c>
      <c r="S137" t="s">
        <v>58</v>
      </c>
    </row>
    <row r="138" spans="1:19" x14ac:dyDescent="0.25">
      <c r="A138" t="s">
        <v>27</v>
      </c>
      <c r="B138" t="s">
        <v>27</v>
      </c>
      <c r="C138" t="s">
        <v>27</v>
      </c>
      <c r="D138" s="7">
        <v>45992</v>
      </c>
      <c r="E138" s="6">
        <v>-12619.807200000005</v>
      </c>
      <c r="F138" t="s">
        <v>141</v>
      </c>
      <c r="G138" t="s">
        <v>142</v>
      </c>
      <c r="H138" t="s">
        <v>30</v>
      </c>
      <c r="I138" t="s">
        <v>120</v>
      </c>
      <c r="K138" t="s">
        <v>27</v>
      </c>
      <c r="L138" t="s">
        <v>27</v>
      </c>
      <c r="M138" t="s">
        <v>27</v>
      </c>
      <c r="N138" s="7">
        <v>45809</v>
      </c>
      <c r="O138" s="6">
        <v>-4694.3718749999998</v>
      </c>
      <c r="P138" t="s">
        <v>78</v>
      </c>
      <c r="Q138" t="s">
        <v>57</v>
      </c>
      <c r="R138" t="s">
        <v>30</v>
      </c>
      <c r="S138" t="s">
        <v>58</v>
      </c>
    </row>
    <row r="139" spans="1:19" x14ac:dyDescent="0.25">
      <c r="A139" t="s">
        <v>27</v>
      </c>
      <c r="B139" t="s">
        <v>27</v>
      </c>
      <c r="C139" t="s">
        <v>27</v>
      </c>
      <c r="D139" s="7">
        <v>45658</v>
      </c>
      <c r="E139" s="6">
        <v>-15000</v>
      </c>
      <c r="F139" t="s">
        <v>143</v>
      </c>
      <c r="G139" t="s">
        <v>144</v>
      </c>
      <c r="H139" t="s">
        <v>30</v>
      </c>
      <c r="I139" t="s">
        <v>145</v>
      </c>
      <c r="K139" t="s">
        <v>27</v>
      </c>
      <c r="L139" t="s">
        <v>27</v>
      </c>
      <c r="M139" t="s">
        <v>27</v>
      </c>
      <c r="N139" s="7">
        <v>45778</v>
      </c>
      <c r="O139" s="6">
        <v>-315.1875</v>
      </c>
      <c r="P139" t="s">
        <v>79</v>
      </c>
      <c r="Q139" t="s">
        <v>57</v>
      </c>
      <c r="R139" t="s">
        <v>30</v>
      </c>
      <c r="S139" t="s">
        <v>58</v>
      </c>
    </row>
    <row r="140" spans="1:19" x14ac:dyDescent="0.25">
      <c r="A140" t="s">
        <v>27</v>
      </c>
      <c r="B140" t="s">
        <v>27</v>
      </c>
      <c r="C140" t="s">
        <v>27</v>
      </c>
      <c r="D140" s="7">
        <v>45689</v>
      </c>
      <c r="E140" s="6">
        <v>-15000</v>
      </c>
      <c r="F140" t="s">
        <v>143</v>
      </c>
      <c r="G140" t="s">
        <v>144</v>
      </c>
      <c r="H140" t="s">
        <v>30</v>
      </c>
      <c r="I140" t="s">
        <v>145</v>
      </c>
      <c r="K140" t="s">
        <v>27</v>
      </c>
      <c r="L140" t="s">
        <v>27</v>
      </c>
      <c r="M140" t="s">
        <v>27</v>
      </c>
      <c r="N140" s="7">
        <v>45778</v>
      </c>
      <c r="O140" s="6">
        <v>-315.1875</v>
      </c>
      <c r="P140" t="s">
        <v>79</v>
      </c>
      <c r="Q140" t="s">
        <v>57</v>
      </c>
      <c r="R140" t="s">
        <v>30</v>
      </c>
      <c r="S140" t="s">
        <v>58</v>
      </c>
    </row>
    <row r="141" spans="1:19" x14ac:dyDescent="0.25">
      <c r="A141" t="s">
        <v>27</v>
      </c>
      <c r="B141" t="s">
        <v>27</v>
      </c>
      <c r="C141" t="s">
        <v>27</v>
      </c>
      <c r="D141" s="7">
        <v>45717</v>
      </c>
      <c r="E141" s="6">
        <v>-15000</v>
      </c>
      <c r="F141" t="s">
        <v>143</v>
      </c>
      <c r="G141" t="s">
        <v>144</v>
      </c>
      <c r="H141" t="s">
        <v>30</v>
      </c>
      <c r="I141" t="s">
        <v>145</v>
      </c>
      <c r="K141" t="s">
        <v>27</v>
      </c>
      <c r="L141" t="s">
        <v>27</v>
      </c>
      <c r="M141" t="s">
        <v>27</v>
      </c>
      <c r="N141" s="7">
        <v>45809</v>
      </c>
      <c r="O141" s="6">
        <v>-315.1875</v>
      </c>
      <c r="P141" t="s">
        <v>79</v>
      </c>
      <c r="Q141" t="s">
        <v>57</v>
      </c>
      <c r="R141" t="s">
        <v>30</v>
      </c>
      <c r="S141" t="s">
        <v>58</v>
      </c>
    </row>
    <row r="142" spans="1:19" x14ac:dyDescent="0.25">
      <c r="A142" t="s">
        <v>27</v>
      </c>
      <c r="B142" t="s">
        <v>27</v>
      </c>
      <c r="C142" t="s">
        <v>27</v>
      </c>
      <c r="D142" s="7">
        <v>45748</v>
      </c>
      <c r="E142" s="6">
        <v>-15000</v>
      </c>
      <c r="F142" t="s">
        <v>143</v>
      </c>
      <c r="G142" t="s">
        <v>144</v>
      </c>
      <c r="H142" t="s">
        <v>30</v>
      </c>
      <c r="I142" t="s">
        <v>145</v>
      </c>
      <c r="K142" t="s">
        <v>27</v>
      </c>
      <c r="L142" t="s">
        <v>27</v>
      </c>
      <c r="M142" t="s">
        <v>27</v>
      </c>
      <c r="N142" s="7">
        <v>45809</v>
      </c>
      <c r="O142" s="6">
        <v>-315.1875</v>
      </c>
      <c r="P142" t="s">
        <v>79</v>
      </c>
      <c r="Q142" t="s">
        <v>57</v>
      </c>
      <c r="R142" t="s">
        <v>30</v>
      </c>
      <c r="S142" t="s">
        <v>58</v>
      </c>
    </row>
    <row r="143" spans="1:19" x14ac:dyDescent="0.25">
      <c r="A143" t="s">
        <v>27</v>
      </c>
      <c r="B143" t="s">
        <v>27</v>
      </c>
      <c r="C143" t="s">
        <v>27</v>
      </c>
      <c r="D143" s="7">
        <v>45778</v>
      </c>
      <c r="E143" s="6">
        <v>-15000</v>
      </c>
      <c r="F143" t="s">
        <v>143</v>
      </c>
      <c r="G143" t="s">
        <v>144</v>
      </c>
      <c r="H143" t="s">
        <v>30</v>
      </c>
      <c r="I143" t="s">
        <v>145</v>
      </c>
      <c r="K143" t="s">
        <v>27</v>
      </c>
      <c r="L143" t="s">
        <v>27</v>
      </c>
      <c r="M143" t="s">
        <v>27</v>
      </c>
      <c r="N143" s="7">
        <v>45778</v>
      </c>
      <c r="O143" s="6">
        <v>-2475.375</v>
      </c>
      <c r="P143" t="s">
        <v>80</v>
      </c>
      <c r="Q143" t="s">
        <v>57</v>
      </c>
      <c r="R143" t="s">
        <v>30</v>
      </c>
      <c r="S143" t="s">
        <v>58</v>
      </c>
    </row>
    <row r="144" spans="1:19" x14ac:dyDescent="0.25">
      <c r="A144" t="s">
        <v>27</v>
      </c>
      <c r="B144" t="s">
        <v>27</v>
      </c>
      <c r="C144" t="s">
        <v>27</v>
      </c>
      <c r="D144" s="7">
        <v>45809</v>
      </c>
      <c r="E144" s="6">
        <v>-15000</v>
      </c>
      <c r="F144" t="s">
        <v>143</v>
      </c>
      <c r="G144" t="s">
        <v>144</v>
      </c>
      <c r="H144" t="s">
        <v>30</v>
      </c>
      <c r="I144" t="s">
        <v>145</v>
      </c>
      <c r="K144" t="s">
        <v>27</v>
      </c>
      <c r="L144" t="s">
        <v>27</v>
      </c>
      <c r="M144" t="s">
        <v>27</v>
      </c>
      <c r="N144" s="7">
        <v>45778</v>
      </c>
      <c r="O144" s="6">
        <v>-2475.375</v>
      </c>
      <c r="P144" t="s">
        <v>80</v>
      </c>
      <c r="Q144" t="s">
        <v>57</v>
      </c>
      <c r="R144" t="s">
        <v>30</v>
      </c>
      <c r="S144" t="s">
        <v>58</v>
      </c>
    </row>
    <row r="145" spans="1:19" x14ac:dyDescent="0.25">
      <c r="A145" t="s">
        <v>27</v>
      </c>
      <c r="B145" t="s">
        <v>27</v>
      </c>
      <c r="C145" t="s">
        <v>27</v>
      </c>
      <c r="D145" s="7">
        <v>45839</v>
      </c>
      <c r="E145" s="6">
        <v>-15000</v>
      </c>
      <c r="F145" t="s">
        <v>143</v>
      </c>
      <c r="G145" t="s">
        <v>144</v>
      </c>
      <c r="H145" t="s">
        <v>30</v>
      </c>
      <c r="I145" t="s">
        <v>145</v>
      </c>
      <c r="K145" t="s">
        <v>27</v>
      </c>
      <c r="L145" t="s">
        <v>27</v>
      </c>
      <c r="M145" t="s">
        <v>27</v>
      </c>
      <c r="N145" s="7">
        <v>45809</v>
      </c>
      <c r="O145" s="6">
        <v>-2475.375</v>
      </c>
      <c r="P145" t="s">
        <v>80</v>
      </c>
      <c r="Q145" t="s">
        <v>57</v>
      </c>
      <c r="R145" t="s">
        <v>30</v>
      </c>
      <c r="S145" t="s">
        <v>58</v>
      </c>
    </row>
    <row r="146" spans="1:19" x14ac:dyDescent="0.25">
      <c r="A146" t="s">
        <v>27</v>
      </c>
      <c r="B146" t="s">
        <v>27</v>
      </c>
      <c r="C146" t="s">
        <v>27</v>
      </c>
      <c r="D146" s="7">
        <v>45870</v>
      </c>
      <c r="E146" s="6">
        <v>-15000</v>
      </c>
      <c r="F146" t="s">
        <v>143</v>
      </c>
      <c r="G146" t="s">
        <v>144</v>
      </c>
      <c r="H146" t="s">
        <v>30</v>
      </c>
      <c r="I146" t="s">
        <v>145</v>
      </c>
      <c r="K146" t="s">
        <v>27</v>
      </c>
      <c r="L146" t="s">
        <v>27</v>
      </c>
      <c r="M146" t="s">
        <v>27</v>
      </c>
      <c r="N146" s="7">
        <v>45809</v>
      </c>
      <c r="O146" s="6">
        <v>-2475.375</v>
      </c>
      <c r="P146" t="s">
        <v>80</v>
      </c>
      <c r="Q146" t="s">
        <v>57</v>
      </c>
      <c r="R146" t="s">
        <v>30</v>
      </c>
      <c r="S146" t="s">
        <v>58</v>
      </c>
    </row>
    <row r="147" spans="1:19" x14ac:dyDescent="0.25">
      <c r="A147" t="s">
        <v>27</v>
      </c>
      <c r="B147" t="s">
        <v>27</v>
      </c>
      <c r="C147" t="s">
        <v>27</v>
      </c>
      <c r="D147" s="7">
        <v>45901</v>
      </c>
      <c r="E147" s="6">
        <v>-15000</v>
      </c>
      <c r="F147" t="s">
        <v>143</v>
      </c>
      <c r="G147" t="s">
        <v>144</v>
      </c>
      <c r="H147" t="s">
        <v>30</v>
      </c>
      <c r="I147" t="s">
        <v>145</v>
      </c>
      <c r="K147" t="s">
        <v>27</v>
      </c>
      <c r="L147" t="s">
        <v>27</v>
      </c>
      <c r="M147" t="s">
        <v>27</v>
      </c>
      <c r="N147" s="7">
        <v>45778</v>
      </c>
      <c r="O147" s="6">
        <v>-53.171875</v>
      </c>
      <c r="P147" t="s">
        <v>81</v>
      </c>
      <c r="Q147" t="s">
        <v>57</v>
      </c>
      <c r="R147" t="s">
        <v>30</v>
      </c>
      <c r="S147" t="s">
        <v>58</v>
      </c>
    </row>
    <row r="148" spans="1:19" x14ac:dyDescent="0.25">
      <c r="A148" t="s">
        <v>27</v>
      </c>
      <c r="B148" t="s">
        <v>27</v>
      </c>
      <c r="C148" t="s">
        <v>27</v>
      </c>
      <c r="D148" s="7">
        <v>45931</v>
      </c>
      <c r="E148" s="6">
        <v>-15000</v>
      </c>
      <c r="F148" t="s">
        <v>143</v>
      </c>
      <c r="G148" t="s">
        <v>144</v>
      </c>
      <c r="H148" t="s">
        <v>30</v>
      </c>
      <c r="I148" t="s">
        <v>145</v>
      </c>
      <c r="K148" t="s">
        <v>27</v>
      </c>
      <c r="L148" t="s">
        <v>27</v>
      </c>
      <c r="M148" t="s">
        <v>27</v>
      </c>
      <c r="N148" s="7">
        <v>45778</v>
      </c>
      <c r="O148" s="6">
        <v>-53.171875</v>
      </c>
      <c r="P148" t="s">
        <v>81</v>
      </c>
      <c r="Q148" t="s">
        <v>57</v>
      </c>
      <c r="R148" t="s">
        <v>30</v>
      </c>
      <c r="S148" t="s">
        <v>58</v>
      </c>
    </row>
    <row r="149" spans="1:19" x14ac:dyDescent="0.25">
      <c r="A149" t="s">
        <v>27</v>
      </c>
      <c r="B149" t="s">
        <v>27</v>
      </c>
      <c r="C149" t="s">
        <v>27</v>
      </c>
      <c r="D149" s="7">
        <v>45962</v>
      </c>
      <c r="E149" s="6">
        <v>-15000</v>
      </c>
      <c r="F149" t="s">
        <v>143</v>
      </c>
      <c r="G149" t="s">
        <v>144</v>
      </c>
      <c r="H149" t="s">
        <v>30</v>
      </c>
      <c r="I149" t="s">
        <v>145</v>
      </c>
      <c r="K149" t="s">
        <v>27</v>
      </c>
      <c r="L149" t="s">
        <v>27</v>
      </c>
      <c r="M149" t="s">
        <v>27</v>
      </c>
      <c r="N149" s="7">
        <v>45809</v>
      </c>
      <c r="O149" s="6">
        <v>-53.171875</v>
      </c>
      <c r="P149" t="s">
        <v>81</v>
      </c>
      <c r="Q149" t="s">
        <v>57</v>
      </c>
      <c r="R149" t="s">
        <v>30</v>
      </c>
      <c r="S149" t="s">
        <v>58</v>
      </c>
    </row>
    <row r="150" spans="1:19" x14ac:dyDescent="0.25">
      <c r="A150" t="s">
        <v>27</v>
      </c>
      <c r="B150" t="s">
        <v>27</v>
      </c>
      <c r="C150" t="s">
        <v>27</v>
      </c>
      <c r="D150" s="7">
        <v>45992</v>
      </c>
      <c r="E150" s="6">
        <v>-15000</v>
      </c>
      <c r="F150" t="s">
        <v>143</v>
      </c>
      <c r="G150" t="s">
        <v>144</v>
      </c>
      <c r="H150" t="s">
        <v>30</v>
      </c>
      <c r="I150" t="s">
        <v>145</v>
      </c>
      <c r="K150" t="s">
        <v>27</v>
      </c>
      <c r="L150" t="s">
        <v>27</v>
      </c>
      <c r="M150" t="s">
        <v>27</v>
      </c>
      <c r="N150" s="7">
        <v>45809</v>
      </c>
      <c r="O150" s="6">
        <v>-53.171875</v>
      </c>
      <c r="P150" t="s">
        <v>81</v>
      </c>
      <c r="Q150" t="s">
        <v>57</v>
      </c>
      <c r="R150" t="s">
        <v>30</v>
      </c>
      <c r="S150" t="s">
        <v>58</v>
      </c>
    </row>
    <row r="151" spans="1:19" x14ac:dyDescent="0.25">
      <c r="A151" t="s">
        <v>27</v>
      </c>
      <c r="B151" t="s">
        <v>27</v>
      </c>
      <c r="C151" t="s">
        <v>27</v>
      </c>
      <c r="D151" s="7">
        <v>45658</v>
      </c>
      <c r="E151" s="6">
        <v>-15000</v>
      </c>
      <c r="F151" t="s">
        <v>143</v>
      </c>
      <c r="G151" t="s">
        <v>144</v>
      </c>
      <c r="H151" t="s">
        <v>30</v>
      </c>
      <c r="I151" t="s">
        <v>145</v>
      </c>
      <c r="K151" t="s">
        <v>27</v>
      </c>
      <c r="L151" t="s">
        <v>27</v>
      </c>
      <c r="M151" t="s">
        <v>27</v>
      </c>
      <c r="N151" s="7">
        <v>45778</v>
      </c>
      <c r="O151" s="6">
        <v>-53.8125</v>
      </c>
      <c r="P151" t="s">
        <v>82</v>
      </c>
      <c r="Q151" t="s">
        <v>57</v>
      </c>
      <c r="R151" t="s">
        <v>30</v>
      </c>
      <c r="S151" t="s">
        <v>58</v>
      </c>
    </row>
    <row r="152" spans="1:19" x14ac:dyDescent="0.25">
      <c r="A152" t="s">
        <v>27</v>
      </c>
      <c r="B152" t="s">
        <v>27</v>
      </c>
      <c r="C152" t="s">
        <v>27</v>
      </c>
      <c r="D152" s="7">
        <v>45689</v>
      </c>
      <c r="E152" s="6">
        <v>-15000</v>
      </c>
      <c r="F152" t="s">
        <v>143</v>
      </c>
      <c r="G152" t="s">
        <v>144</v>
      </c>
      <c r="H152" t="s">
        <v>30</v>
      </c>
      <c r="I152" t="s">
        <v>145</v>
      </c>
      <c r="K152" t="s">
        <v>27</v>
      </c>
      <c r="L152" t="s">
        <v>27</v>
      </c>
      <c r="M152" t="s">
        <v>27</v>
      </c>
      <c r="N152" s="7">
        <v>45778</v>
      </c>
      <c r="O152" s="6">
        <v>-53.8125</v>
      </c>
      <c r="P152" t="s">
        <v>82</v>
      </c>
      <c r="Q152" t="s">
        <v>57</v>
      </c>
      <c r="R152" t="s">
        <v>30</v>
      </c>
      <c r="S152" t="s">
        <v>58</v>
      </c>
    </row>
    <row r="153" spans="1:19" x14ac:dyDescent="0.25">
      <c r="A153" t="s">
        <v>27</v>
      </c>
      <c r="B153" t="s">
        <v>27</v>
      </c>
      <c r="C153" t="s">
        <v>27</v>
      </c>
      <c r="D153" s="7">
        <v>45717</v>
      </c>
      <c r="E153" s="6">
        <v>-15000</v>
      </c>
      <c r="F153" t="s">
        <v>143</v>
      </c>
      <c r="G153" t="s">
        <v>144</v>
      </c>
      <c r="H153" t="s">
        <v>30</v>
      </c>
      <c r="I153" t="s">
        <v>145</v>
      </c>
      <c r="K153" t="s">
        <v>27</v>
      </c>
      <c r="L153" t="s">
        <v>27</v>
      </c>
      <c r="M153" t="s">
        <v>27</v>
      </c>
      <c r="N153" s="7">
        <v>45809</v>
      </c>
      <c r="O153" s="6">
        <v>-53.8125</v>
      </c>
      <c r="P153" t="s">
        <v>82</v>
      </c>
      <c r="Q153" t="s">
        <v>57</v>
      </c>
      <c r="R153" t="s">
        <v>30</v>
      </c>
      <c r="S153" t="s">
        <v>58</v>
      </c>
    </row>
    <row r="154" spans="1:19" x14ac:dyDescent="0.25">
      <c r="A154" t="s">
        <v>27</v>
      </c>
      <c r="B154" t="s">
        <v>27</v>
      </c>
      <c r="C154" t="s">
        <v>27</v>
      </c>
      <c r="D154" s="7">
        <v>45748</v>
      </c>
      <c r="E154" s="6">
        <v>-15000</v>
      </c>
      <c r="F154" t="s">
        <v>143</v>
      </c>
      <c r="G154" t="s">
        <v>144</v>
      </c>
      <c r="H154" t="s">
        <v>30</v>
      </c>
      <c r="I154" t="s">
        <v>145</v>
      </c>
      <c r="K154" t="s">
        <v>27</v>
      </c>
      <c r="L154" t="s">
        <v>27</v>
      </c>
      <c r="M154" t="s">
        <v>27</v>
      </c>
      <c r="N154" s="7">
        <v>45809</v>
      </c>
      <c r="O154" s="6">
        <v>-53.8125</v>
      </c>
      <c r="P154" t="s">
        <v>82</v>
      </c>
      <c r="Q154" t="s">
        <v>57</v>
      </c>
      <c r="R154" t="s">
        <v>30</v>
      </c>
      <c r="S154" t="s">
        <v>58</v>
      </c>
    </row>
    <row r="155" spans="1:19" x14ac:dyDescent="0.25">
      <c r="A155" t="s">
        <v>27</v>
      </c>
      <c r="B155" t="s">
        <v>27</v>
      </c>
      <c r="C155" t="s">
        <v>27</v>
      </c>
      <c r="D155" s="7">
        <v>45778</v>
      </c>
      <c r="E155" s="6">
        <v>-15000</v>
      </c>
      <c r="F155" t="s">
        <v>143</v>
      </c>
      <c r="G155" t="s">
        <v>144</v>
      </c>
      <c r="H155" t="s">
        <v>30</v>
      </c>
      <c r="I155" t="s">
        <v>145</v>
      </c>
      <c r="K155" t="s">
        <v>27</v>
      </c>
      <c r="L155" t="s">
        <v>27</v>
      </c>
      <c r="M155" t="s">
        <v>27</v>
      </c>
      <c r="N155" s="7">
        <v>45809</v>
      </c>
      <c r="O155" s="6">
        <v>-4490.2687500000002</v>
      </c>
      <c r="P155" t="s">
        <v>83</v>
      </c>
      <c r="Q155" t="s">
        <v>57</v>
      </c>
      <c r="R155" t="s">
        <v>30</v>
      </c>
      <c r="S155" t="s">
        <v>58</v>
      </c>
    </row>
    <row r="156" spans="1:19" x14ac:dyDescent="0.25">
      <c r="A156" t="s">
        <v>27</v>
      </c>
      <c r="B156" t="s">
        <v>27</v>
      </c>
      <c r="C156" t="s">
        <v>27</v>
      </c>
      <c r="D156" s="7">
        <v>45809</v>
      </c>
      <c r="E156" s="6">
        <v>-15000</v>
      </c>
      <c r="F156" t="s">
        <v>143</v>
      </c>
      <c r="G156" t="s">
        <v>144</v>
      </c>
      <c r="H156" t="s">
        <v>30</v>
      </c>
      <c r="I156" t="s">
        <v>145</v>
      </c>
      <c r="K156" t="s">
        <v>27</v>
      </c>
      <c r="L156" t="s">
        <v>27</v>
      </c>
      <c r="M156" t="s">
        <v>27</v>
      </c>
      <c r="N156" s="7">
        <v>45839</v>
      </c>
      <c r="O156" s="6">
        <v>-4490.2687500000002</v>
      </c>
      <c r="P156" t="s">
        <v>83</v>
      </c>
      <c r="Q156" t="s">
        <v>57</v>
      </c>
      <c r="R156" t="s">
        <v>30</v>
      </c>
      <c r="S156" t="s">
        <v>58</v>
      </c>
    </row>
    <row r="157" spans="1:19" x14ac:dyDescent="0.25">
      <c r="A157" t="s">
        <v>27</v>
      </c>
      <c r="B157" t="s">
        <v>27</v>
      </c>
      <c r="C157" t="s">
        <v>27</v>
      </c>
      <c r="D157" s="7">
        <v>45839</v>
      </c>
      <c r="E157" s="6">
        <v>-15000</v>
      </c>
      <c r="F157" t="s">
        <v>143</v>
      </c>
      <c r="G157" t="s">
        <v>144</v>
      </c>
      <c r="H157" t="s">
        <v>30</v>
      </c>
      <c r="I157" t="s">
        <v>145</v>
      </c>
      <c r="K157" t="s">
        <v>27</v>
      </c>
      <c r="L157" t="s">
        <v>27</v>
      </c>
      <c r="M157" t="s">
        <v>27</v>
      </c>
      <c r="N157" s="7">
        <v>45839</v>
      </c>
      <c r="O157" s="6">
        <v>-4490.2687500000002</v>
      </c>
      <c r="P157" t="s">
        <v>83</v>
      </c>
      <c r="Q157" t="s">
        <v>57</v>
      </c>
      <c r="R157" t="s">
        <v>30</v>
      </c>
      <c r="S157" t="s">
        <v>58</v>
      </c>
    </row>
    <row r="158" spans="1:19" x14ac:dyDescent="0.25">
      <c r="A158" t="s">
        <v>27</v>
      </c>
      <c r="B158" t="s">
        <v>27</v>
      </c>
      <c r="C158" t="s">
        <v>27</v>
      </c>
      <c r="D158" s="7">
        <v>45870</v>
      </c>
      <c r="E158" s="6">
        <v>-15000</v>
      </c>
      <c r="F158" t="s">
        <v>143</v>
      </c>
      <c r="G158" t="s">
        <v>144</v>
      </c>
      <c r="H158" t="s">
        <v>30</v>
      </c>
      <c r="I158" t="s">
        <v>145</v>
      </c>
      <c r="K158" t="s">
        <v>27</v>
      </c>
      <c r="L158" t="s">
        <v>27</v>
      </c>
      <c r="M158" t="s">
        <v>27</v>
      </c>
      <c r="N158" s="7">
        <v>45839</v>
      </c>
      <c r="O158" s="6">
        <v>-4490.2687500000002</v>
      </c>
      <c r="P158" t="s">
        <v>83</v>
      </c>
      <c r="Q158" t="s">
        <v>57</v>
      </c>
      <c r="R158" t="s">
        <v>30</v>
      </c>
      <c r="S158" t="s">
        <v>58</v>
      </c>
    </row>
    <row r="159" spans="1:19" x14ac:dyDescent="0.25">
      <c r="A159" t="s">
        <v>27</v>
      </c>
      <c r="B159" t="s">
        <v>27</v>
      </c>
      <c r="C159" t="s">
        <v>27</v>
      </c>
      <c r="D159" s="7">
        <v>45901</v>
      </c>
      <c r="E159" s="6">
        <v>-15000</v>
      </c>
      <c r="F159" t="s">
        <v>143</v>
      </c>
      <c r="G159" t="s">
        <v>144</v>
      </c>
      <c r="H159" t="s">
        <v>30</v>
      </c>
      <c r="I159" t="s">
        <v>145</v>
      </c>
      <c r="K159" t="s">
        <v>27</v>
      </c>
      <c r="L159" t="s">
        <v>27</v>
      </c>
      <c r="M159" t="s">
        <v>27</v>
      </c>
      <c r="N159" s="7">
        <v>45809</v>
      </c>
      <c r="O159" s="6">
        <v>-302.375</v>
      </c>
      <c r="P159" t="s">
        <v>84</v>
      </c>
      <c r="Q159" t="s">
        <v>57</v>
      </c>
      <c r="R159" t="s">
        <v>30</v>
      </c>
      <c r="S159" t="s">
        <v>58</v>
      </c>
    </row>
    <row r="160" spans="1:19" x14ac:dyDescent="0.25">
      <c r="A160" t="s">
        <v>27</v>
      </c>
      <c r="B160" t="s">
        <v>27</v>
      </c>
      <c r="C160" t="s">
        <v>27</v>
      </c>
      <c r="D160" s="7">
        <v>45931</v>
      </c>
      <c r="E160" s="6">
        <v>-15000</v>
      </c>
      <c r="F160" t="s">
        <v>143</v>
      </c>
      <c r="G160" t="s">
        <v>144</v>
      </c>
      <c r="H160" t="s">
        <v>30</v>
      </c>
      <c r="I160" t="s">
        <v>145</v>
      </c>
      <c r="K160" t="s">
        <v>27</v>
      </c>
      <c r="L160" t="s">
        <v>27</v>
      </c>
      <c r="M160" t="s">
        <v>27</v>
      </c>
      <c r="N160" s="7">
        <v>45839</v>
      </c>
      <c r="O160" s="6">
        <v>-302.375</v>
      </c>
      <c r="P160" t="s">
        <v>84</v>
      </c>
      <c r="Q160" t="s">
        <v>57</v>
      </c>
      <c r="R160" t="s">
        <v>30</v>
      </c>
      <c r="S160" t="s">
        <v>58</v>
      </c>
    </row>
    <row r="161" spans="1:19" x14ac:dyDescent="0.25">
      <c r="A161" t="s">
        <v>27</v>
      </c>
      <c r="B161" t="s">
        <v>27</v>
      </c>
      <c r="C161" t="s">
        <v>27</v>
      </c>
      <c r="D161" s="7">
        <v>45962</v>
      </c>
      <c r="E161" s="6">
        <v>-15000</v>
      </c>
      <c r="F161" t="s">
        <v>143</v>
      </c>
      <c r="G161" t="s">
        <v>144</v>
      </c>
      <c r="H161" t="s">
        <v>30</v>
      </c>
      <c r="I161" t="s">
        <v>145</v>
      </c>
      <c r="K161" t="s">
        <v>27</v>
      </c>
      <c r="L161" t="s">
        <v>27</v>
      </c>
      <c r="M161" t="s">
        <v>27</v>
      </c>
      <c r="N161" s="7">
        <v>45839</v>
      </c>
      <c r="O161" s="6">
        <v>-302.375</v>
      </c>
      <c r="P161" t="s">
        <v>84</v>
      </c>
      <c r="Q161" t="s">
        <v>57</v>
      </c>
      <c r="R161" t="s">
        <v>30</v>
      </c>
      <c r="S161" t="s">
        <v>58</v>
      </c>
    </row>
    <row r="162" spans="1:19" x14ac:dyDescent="0.25">
      <c r="A162" t="s">
        <v>27</v>
      </c>
      <c r="B162" t="s">
        <v>27</v>
      </c>
      <c r="C162" t="s">
        <v>27</v>
      </c>
      <c r="D162" s="7">
        <v>45992</v>
      </c>
      <c r="E162" s="6">
        <v>-15000</v>
      </c>
      <c r="F162" t="s">
        <v>143</v>
      </c>
      <c r="G162" t="s">
        <v>144</v>
      </c>
      <c r="H162" t="s">
        <v>30</v>
      </c>
      <c r="I162" t="s">
        <v>145</v>
      </c>
      <c r="K162" t="s">
        <v>27</v>
      </c>
      <c r="L162" t="s">
        <v>27</v>
      </c>
      <c r="M162" t="s">
        <v>27</v>
      </c>
      <c r="N162" s="7">
        <v>45839</v>
      </c>
      <c r="O162" s="6">
        <v>-302.375</v>
      </c>
      <c r="P162" t="s">
        <v>84</v>
      </c>
      <c r="Q162" t="s">
        <v>57</v>
      </c>
      <c r="R162" t="s">
        <v>30</v>
      </c>
      <c r="S162" t="s">
        <v>58</v>
      </c>
    </row>
    <row r="163" spans="1:19" x14ac:dyDescent="0.25">
      <c r="A163" t="s">
        <v>27</v>
      </c>
      <c r="B163" t="s">
        <v>27</v>
      </c>
      <c r="C163" t="s">
        <v>27</v>
      </c>
      <c r="D163" s="7">
        <v>45658</v>
      </c>
      <c r="E163" s="6">
        <v>-5400</v>
      </c>
      <c r="F163" t="s">
        <v>146</v>
      </c>
      <c r="G163" t="s">
        <v>147</v>
      </c>
      <c r="H163" t="s">
        <v>30</v>
      </c>
      <c r="I163" t="s">
        <v>145</v>
      </c>
      <c r="K163" t="s">
        <v>27</v>
      </c>
      <c r="L163" t="s">
        <v>27</v>
      </c>
      <c r="M163" t="s">
        <v>27</v>
      </c>
      <c r="N163" s="7">
        <v>45809</v>
      </c>
      <c r="O163" s="6">
        <v>-2367.75</v>
      </c>
      <c r="P163" t="s">
        <v>85</v>
      </c>
      <c r="Q163" t="s">
        <v>57</v>
      </c>
      <c r="R163" t="s">
        <v>30</v>
      </c>
      <c r="S163" t="s">
        <v>58</v>
      </c>
    </row>
    <row r="164" spans="1:19" x14ac:dyDescent="0.25">
      <c r="A164" t="s">
        <v>27</v>
      </c>
      <c r="B164" t="s">
        <v>27</v>
      </c>
      <c r="C164" t="s">
        <v>27</v>
      </c>
      <c r="D164" s="7">
        <v>45689</v>
      </c>
      <c r="E164" s="6">
        <v>-5400</v>
      </c>
      <c r="F164" t="s">
        <v>146</v>
      </c>
      <c r="G164" t="s">
        <v>147</v>
      </c>
      <c r="H164" t="s">
        <v>30</v>
      </c>
      <c r="I164" t="s">
        <v>145</v>
      </c>
      <c r="K164" t="s">
        <v>27</v>
      </c>
      <c r="L164" t="s">
        <v>27</v>
      </c>
      <c r="M164" t="s">
        <v>27</v>
      </c>
      <c r="N164" s="7">
        <v>45839</v>
      </c>
      <c r="O164" s="6">
        <v>-2367.75</v>
      </c>
      <c r="P164" t="s">
        <v>85</v>
      </c>
      <c r="Q164" t="s">
        <v>57</v>
      </c>
      <c r="R164" t="s">
        <v>30</v>
      </c>
      <c r="S164" t="s">
        <v>58</v>
      </c>
    </row>
    <row r="165" spans="1:19" x14ac:dyDescent="0.25">
      <c r="A165" t="s">
        <v>27</v>
      </c>
      <c r="B165" t="s">
        <v>27</v>
      </c>
      <c r="C165" t="s">
        <v>27</v>
      </c>
      <c r="D165" s="7">
        <v>45717</v>
      </c>
      <c r="E165" s="6">
        <v>-5400</v>
      </c>
      <c r="F165" t="s">
        <v>146</v>
      </c>
      <c r="G165" t="s">
        <v>147</v>
      </c>
      <c r="H165" t="s">
        <v>30</v>
      </c>
      <c r="I165" t="s">
        <v>145</v>
      </c>
      <c r="K165" t="s">
        <v>27</v>
      </c>
      <c r="L165" t="s">
        <v>27</v>
      </c>
      <c r="M165" t="s">
        <v>27</v>
      </c>
      <c r="N165" s="7">
        <v>45839</v>
      </c>
      <c r="O165" s="6">
        <v>-2367.75</v>
      </c>
      <c r="P165" t="s">
        <v>85</v>
      </c>
      <c r="Q165" t="s">
        <v>57</v>
      </c>
      <c r="R165" t="s">
        <v>30</v>
      </c>
      <c r="S165" t="s">
        <v>58</v>
      </c>
    </row>
    <row r="166" spans="1:19" x14ac:dyDescent="0.25">
      <c r="A166" t="s">
        <v>27</v>
      </c>
      <c r="B166" t="s">
        <v>27</v>
      </c>
      <c r="C166" t="s">
        <v>27</v>
      </c>
      <c r="D166" s="7">
        <v>45748</v>
      </c>
      <c r="E166" s="6">
        <v>-5400</v>
      </c>
      <c r="F166" t="s">
        <v>146</v>
      </c>
      <c r="G166" t="s">
        <v>147</v>
      </c>
      <c r="H166" t="s">
        <v>30</v>
      </c>
      <c r="I166" t="s">
        <v>145</v>
      </c>
      <c r="K166" t="s">
        <v>27</v>
      </c>
      <c r="L166" t="s">
        <v>27</v>
      </c>
      <c r="M166" t="s">
        <v>27</v>
      </c>
      <c r="N166" s="7">
        <v>45839</v>
      </c>
      <c r="O166" s="6">
        <v>-2367.75</v>
      </c>
      <c r="P166" t="s">
        <v>85</v>
      </c>
      <c r="Q166" t="s">
        <v>57</v>
      </c>
      <c r="R166" t="s">
        <v>30</v>
      </c>
      <c r="S166" t="s">
        <v>58</v>
      </c>
    </row>
    <row r="167" spans="1:19" x14ac:dyDescent="0.25">
      <c r="A167" t="s">
        <v>27</v>
      </c>
      <c r="B167" t="s">
        <v>27</v>
      </c>
      <c r="C167" t="s">
        <v>27</v>
      </c>
      <c r="D167" s="7">
        <v>45778</v>
      </c>
      <c r="E167" s="6">
        <v>-5400</v>
      </c>
      <c r="F167" t="s">
        <v>146</v>
      </c>
      <c r="G167" t="s">
        <v>147</v>
      </c>
      <c r="H167" t="s">
        <v>30</v>
      </c>
      <c r="I167" t="s">
        <v>145</v>
      </c>
      <c r="K167" t="s">
        <v>27</v>
      </c>
      <c r="L167" t="s">
        <v>27</v>
      </c>
      <c r="M167" t="s">
        <v>27</v>
      </c>
      <c r="N167" s="7">
        <v>45809</v>
      </c>
      <c r="O167" s="6">
        <v>-51.25</v>
      </c>
      <c r="P167" t="s">
        <v>86</v>
      </c>
      <c r="Q167" t="s">
        <v>57</v>
      </c>
      <c r="R167" t="s">
        <v>30</v>
      </c>
      <c r="S167" t="s">
        <v>58</v>
      </c>
    </row>
    <row r="168" spans="1:19" x14ac:dyDescent="0.25">
      <c r="A168" t="s">
        <v>27</v>
      </c>
      <c r="B168" t="s">
        <v>27</v>
      </c>
      <c r="C168" t="s">
        <v>27</v>
      </c>
      <c r="D168" s="7">
        <v>45809</v>
      </c>
      <c r="E168" s="6">
        <v>-5400</v>
      </c>
      <c r="F168" t="s">
        <v>146</v>
      </c>
      <c r="G168" t="s">
        <v>147</v>
      </c>
      <c r="H168" t="s">
        <v>30</v>
      </c>
      <c r="I168" t="s">
        <v>145</v>
      </c>
      <c r="K168" t="s">
        <v>27</v>
      </c>
      <c r="L168" t="s">
        <v>27</v>
      </c>
      <c r="M168" t="s">
        <v>27</v>
      </c>
      <c r="N168" s="7">
        <v>45839</v>
      </c>
      <c r="O168" s="6">
        <v>-51.25</v>
      </c>
      <c r="P168" t="s">
        <v>86</v>
      </c>
      <c r="Q168" t="s">
        <v>57</v>
      </c>
      <c r="R168" t="s">
        <v>30</v>
      </c>
      <c r="S168" t="s">
        <v>58</v>
      </c>
    </row>
    <row r="169" spans="1:19" x14ac:dyDescent="0.25">
      <c r="A169" t="s">
        <v>27</v>
      </c>
      <c r="B169" t="s">
        <v>27</v>
      </c>
      <c r="C169" t="s">
        <v>27</v>
      </c>
      <c r="D169" s="7">
        <v>45839</v>
      </c>
      <c r="E169" s="6">
        <v>-5400</v>
      </c>
      <c r="F169" t="s">
        <v>146</v>
      </c>
      <c r="G169" t="s">
        <v>147</v>
      </c>
      <c r="H169" t="s">
        <v>30</v>
      </c>
      <c r="I169" t="s">
        <v>145</v>
      </c>
      <c r="K169" t="s">
        <v>27</v>
      </c>
      <c r="L169" t="s">
        <v>27</v>
      </c>
      <c r="M169" t="s">
        <v>27</v>
      </c>
      <c r="N169" s="7">
        <v>45839</v>
      </c>
      <c r="O169" s="6">
        <v>-51.25</v>
      </c>
      <c r="P169" t="s">
        <v>86</v>
      </c>
      <c r="Q169" t="s">
        <v>57</v>
      </c>
      <c r="R169" t="s">
        <v>30</v>
      </c>
      <c r="S169" t="s">
        <v>58</v>
      </c>
    </row>
    <row r="170" spans="1:19" x14ac:dyDescent="0.25">
      <c r="A170" t="s">
        <v>27</v>
      </c>
      <c r="B170" t="s">
        <v>27</v>
      </c>
      <c r="C170" t="s">
        <v>27</v>
      </c>
      <c r="D170" s="7">
        <v>45870</v>
      </c>
      <c r="E170" s="6">
        <v>-5400</v>
      </c>
      <c r="F170" t="s">
        <v>146</v>
      </c>
      <c r="G170" t="s">
        <v>147</v>
      </c>
      <c r="H170" t="s">
        <v>30</v>
      </c>
      <c r="I170" t="s">
        <v>145</v>
      </c>
      <c r="K170" t="s">
        <v>27</v>
      </c>
      <c r="L170" t="s">
        <v>27</v>
      </c>
      <c r="M170" t="s">
        <v>27</v>
      </c>
      <c r="N170" s="7">
        <v>45839</v>
      </c>
      <c r="O170" s="6">
        <v>-51.25</v>
      </c>
      <c r="P170" t="s">
        <v>86</v>
      </c>
      <c r="Q170" t="s">
        <v>57</v>
      </c>
      <c r="R170" t="s">
        <v>30</v>
      </c>
      <c r="S170" t="s">
        <v>58</v>
      </c>
    </row>
    <row r="171" spans="1:19" x14ac:dyDescent="0.25">
      <c r="A171" t="s">
        <v>27</v>
      </c>
      <c r="B171" t="s">
        <v>27</v>
      </c>
      <c r="C171" t="s">
        <v>27</v>
      </c>
      <c r="D171" s="7">
        <v>45901</v>
      </c>
      <c r="E171" s="6">
        <v>-5400</v>
      </c>
      <c r="F171" t="s">
        <v>146</v>
      </c>
      <c r="G171" t="s">
        <v>147</v>
      </c>
      <c r="H171" t="s">
        <v>30</v>
      </c>
      <c r="I171" t="s">
        <v>145</v>
      </c>
      <c r="K171" t="s">
        <v>27</v>
      </c>
      <c r="L171" t="s">
        <v>27</v>
      </c>
      <c r="M171" t="s">
        <v>27</v>
      </c>
      <c r="N171" s="7">
        <v>45809</v>
      </c>
      <c r="O171" s="6">
        <v>-51.25</v>
      </c>
      <c r="P171" t="s">
        <v>87</v>
      </c>
      <c r="Q171" t="s">
        <v>57</v>
      </c>
      <c r="R171" t="s">
        <v>30</v>
      </c>
      <c r="S171" t="s">
        <v>58</v>
      </c>
    </row>
    <row r="172" spans="1:19" x14ac:dyDescent="0.25">
      <c r="A172" t="s">
        <v>27</v>
      </c>
      <c r="B172" t="s">
        <v>27</v>
      </c>
      <c r="C172" t="s">
        <v>27</v>
      </c>
      <c r="D172" s="7">
        <v>45931</v>
      </c>
      <c r="E172" s="6">
        <v>-5400</v>
      </c>
      <c r="F172" t="s">
        <v>146</v>
      </c>
      <c r="G172" t="s">
        <v>147</v>
      </c>
      <c r="H172" t="s">
        <v>30</v>
      </c>
      <c r="I172" t="s">
        <v>145</v>
      </c>
      <c r="K172" t="s">
        <v>27</v>
      </c>
      <c r="L172" t="s">
        <v>27</v>
      </c>
      <c r="M172" t="s">
        <v>27</v>
      </c>
      <c r="N172" s="7">
        <v>45839</v>
      </c>
      <c r="O172" s="6">
        <v>-51.25</v>
      </c>
      <c r="P172" t="s">
        <v>87</v>
      </c>
      <c r="Q172" t="s">
        <v>57</v>
      </c>
      <c r="R172" t="s">
        <v>30</v>
      </c>
      <c r="S172" t="s">
        <v>58</v>
      </c>
    </row>
    <row r="173" spans="1:19" x14ac:dyDescent="0.25">
      <c r="A173" t="s">
        <v>27</v>
      </c>
      <c r="B173" t="s">
        <v>27</v>
      </c>
      <c r="C173" t="s">
        <v>27</v>
      </c>
      <c r="D173" s="7">
        <v>45962</v>
      </c>
      <c r="E173" s="6">
        <v>-5400</v>
      </c>
      <c r="F173" t="s">
        <v>146</v>
      </c>
      <c r="G173" t="s">
        <v>147</v>
      </c>
      <c r="H173" t="s">
        <v>30</v>
      </c>
      <c r="I173" t="s">
        <v>145</v>
      </c>
      <c r="K173" t="s">
        <v>27</v>
      </c>
      <c r="L173" t="s">
        <v>27</v>
      </c>
      <c r="M173" t="s">
        <v>27</v>
      </c>
      <c r="N173" s="7">
        <v>45839</v>
      </c>
      <c r="O173" s="6">
        <v>-51.25</v>
      </c>
      <c r="P173" t="s">
        <v>87</v>
      </c>
      <c r="Q173" t="s">
        <v>57</v>
      </c>
      <c r="R173" t="s">
        <v>30</v>
      </c>
      <c r="S173" t="s">
        <v>58</v>
      </c>
    </row>
    <row r="174" spans="1:19" x14ac:dyDescent="0.25">
      <c r="A174" t="s">
        <v>27</v>
      </c>
      <c r="B174" t="s">
        <v>27</v>
      </c>
      <c r="C174" t="s">
        <v>27</v>
      </c>
      <c r="D174" s="7">
        <v>45992</v>
      </c>
      <c r="E174" s="6">
        <v>-5400</v>
      </c>
      <c r="F174" t="s">
        <v>146</v>
      </c>
      <c r="G174" t="s">
        <v>147</v>
      </c>
      <c r="H174" t="s">
        <v>30</v>
      </c>
      <c r="I174" t="s">
        <v>145</v>
      </c>
      <c r="K174" t="s">
        <v>27</v>
      </c>
      <c r="L174" t="s">
        <v>27</v>
      </c>
      <c r="M174" t="s">
        <v>27</v>
      </c>
      <c r="N174" s="7">
        <v>45839</v>
      </c>
      <c r="O174" s="6">
        <v>-51.25</v>
      </c>
      <c r="P174" t="s">
        <v>87</v>
      </c>
      <c r="Q174" t="s">
        <v>57</v>
      </c>
      <c r="R174" t="s">
        <v>30</v>
      </c>
      <c r="S174" t="s">
        <v>58</v>
      </c>
    </row>
    <row r="175" spans="1:19" x14ac:dyDescent="0.25">
      <c r="A175" t="s">
        <v>27</v>
      </c>
      <c r="B175" t="s">
        <v>27</v>
      </c>
      <c r="C175" t="s">
        <v>27</v>
      </c>
      <c r="D175" s="7">
        <v>45658</v>
      </c>
      <c r="E175" s="6">
        <v>-3000</v>
      </c>
      <c r="F175" t="s">
        <v>148</v>
      </c>
      <c r="G175" t="s">
        <v>149</v>
      </c>
      <c r="H175" t="s">
        <v>30</v>
      </c>
      <c r="I175" t="s">
        <v>145</v>
      </c>
      <c r="K175" t="s">
        <v>27</v>
      </c>
      <c r="L175" t="s">
        <v>27</v>
      </c>
      <c r="M175" t="s">
        <v>27</v>
      </c>
      <c r="N175" s="7">
        <v>45839</v>
      </c>
      <c r="O175" s="6">
        <v>-8164.125</v>
      </c>
      <c r="P175" t="s">
        <v>88</v>
      </c>
      <c r="Q175" t="s">
        <v>57</v>
      </c>
      <c r="R175" t="s">
        <v>30</v>
      </c>
      <c r="S175" t="s">
        <v>58</v>
      </c>
    </row>
    <row r="176" spans="1:19" x14ac:dyDescent="0.25">
      <c r="A176" t="s">
        <v>27</v>
      </c>
      <c r="B176" t="s">
        <v>27</v>
      </c>
      <c r="C176" t="s">
        <v>27</v>
      </c>
      <c r="D176" s="7">
        <v>45689</v>
      </c>
      <c r="E176" s="6">
        <v>-3000</v>
      </c>
      <c r="F176" t="s">
        <v>148</v>
      </c>
      <c r="G176" t="s">
        <v>149</v>
      </c>
      <c r="H176" t="s">
        <v>30</v>
      </c>
      <c r="I176" t="s">
        <v>145</v>
      </c>
      <c r="K176" t="s">
        <v>27</v>
      </c>
      <c r="L176" t="s">
        <v>27</v>
      </c>
      <c r="M176" t="s">
        <v>27</v>
      </c>
      <c r="N176" s="7">
        <v>45839</v>
      </c>
      <c r="O176" s="6">
        <v>-8164.125</v>
      </c>
      <c r="P176" t="s">
        <v>88</v>
      </c>
      <c r="Q176" t="s">
        <v>57</v>
      </c>
      <c r="R176" t="s">
        <v>30</v>
      </c>
      <c r="S176" t="s">
        <v>58</v>
      </c>
    </row>
    <row r="177" spans="1:19" x14ac:dyDescent="0.25">
      <c r="A177" t="s">
        <v>27</v>
      </c>
      <c r="B177" t="s">
        <v>27</v>
      </c>
      <c r="C177" t="s">
        <v>27</v>
      </c>
      <c r="D177" s="7">
        <v>45717</v>
      </c>
      <c r="E177" s="6">
        <v>-3000</v>
      </c>
      <c r="F177" t="s">
        <v>148</v>
      </c>
      <c r="G177" t="s">
        <v>149</v>
      </c>
      <c r="H177" t="s">
        <v>30</v>
      </c>
      <c r="I177" t="s">
        <v>145</v>
      </c>
      <c r="K177" t="s">
        <v>27</v>
      </c>
      <c r="L177" t="s">
        <v>27</v>
      </c>
      <c r="M177" t="s">
        <v>27</v>
      </c>
      <c r="N177" s="7">
        <v>45870</v>
      </c>
      <c r="O177" s="6">
        <v>-8164.125</v>
      </c>
      <c r="P177" t="s">
        <v>88</v>
      </c>
      <c r="Q177" t="s">
        <v>57</v>
      </c>
      <c r="R177" t="s">
        <v>30</v>
      </c>
      <c r="S177" t="s">
        <v>58</v>
      </c>
    </row>
    <row r="178" spans="1:19" x14ac:dyDescent="0.25">
      <c r="A178" t="s">
        <v>27</v>
      </c>
      <c r="B178" t="s">
        <v>27</v>
      </c>
      <c r="C178" t="s">
        <v>27</v>
      </c>
      <c r="D178" s="7">
        <v>45748</v>
      </c>
      <c r="E178" s="6">
        <v>-3000</v>
      </c>
      <c r="F178" t="s">
        <v>148</v>
      </c>
      <c r="G178" t="s">
        <v>149</v>
      </c>
      <c r="H178" t="s">
        <v>30</v>
      </c>
      <c r="I178" t="s">
        <v>145</v>
      </c>
      <c r="K178" t="s">
        <v>27</v>
      </c>
      <c r="L178" t="s">
        <v>27</v>
      </c>
      <c r="M178" t="s">
        <v>27</v>
      </c>
      <c r="N178" s="7">
        <v>45870</v>
      </c>
      <c r="O178" s="6">
        <v>-8164.125</v>
      </c>
      <c r="P178" t="s">
        <v>88</v>
      </c>
      <c r="Q178" t="s">
        <v>57</v>
      </c>
      <c r="R178" t="s">
        <v>30</v>
      </c>
      <c r="S178" t="s">
        <v>58</v>
      </c>
    </row>
    <row r="179" spans="1:19" x14ac:dyDescent="0.25">
      <c r="A179" t="s">
        <v>27</v>
      </c>
      <c r="B179" t="s">
        <v>27</v>
      </c>
      <c r="C179" t="s">
        <v>27</v>
      </c>
      <c r="D179" s="7">
        <v>45778</v>
      </c>
      <c r="E179" s="6">
        <v>-3000</v>
      </c>
      <c r="F179" t="s">
        <v>148</v>
      </c>
      <c r="G179" t="s">
        <v>149</v>
      </c>
      <c r="H179" t="s">
        <v>30</v>
      </c>
      <c r="I179" t="s">
        <v>145</v>
      </c>
      <c r="K179" t="s">
        <v>27</v>
      </c>
      <c r="L179" t="s">
        <v>27</v>
      </c>
      <c r="M179" t="s">
        <v>27</v>
      </c>
      <c r="N179" s="7">
        <v>45839</v>
      </c>
      <c r="O179" s="6">
        <v>-545.8125</v>
      </c>
      <c r="P179" t="s">
        <v>89</v>
      </c>
      <c r="Q179" t="s">
        <v>57</v>
      </c>
      <c r="R179" t="s">
        <v>30</v>
      </c>
      <c r="S179" t="s">
        <v>58</v>
      </c>
    </row>
    <row r="180" spans="1:19" x14ac:dyDescent="0.25">
      <c r="A180" t="s">
        <v>27</v>
      </c>
      <c r="B180" t="s">
        <v>27</v>
      </c>
      <c r="C180" t="s">
        <v>27</v>
      </c>
      <c r="D180" s="7">
        <v>45809</v>
      </c>
      <c r="E180" s="6">
        <v>-3000</v>
      </c>
      <c r="F180" t="s">
        <v>148</v>
      </c>
      <c r="G180" t="s">
        <v>149</v>
      </c>
      <c r="H180" t="s">
        <v>30</v>
      </c>
      <c r="I180" t="s">
        <v>145</v>
      </c>
      <c r="K180" t="s">
        <v>27</v>
      </c>
      <c r="L180" t="s">
        <v>27</v>
      </c>
      <c r="M180" t="s">
        <v>27</v>
      </c>
      <c r="N180" s="7">
        <v>45839</v>
      </c>
      <c r="O180" s="6">
        <v>-545.8125</v>
      </c>
      <c r="P180" t="s">
        <v>89</v>
      </c>
      <c r="Q180" t="s">
        <v>57</v>
      </c>
      <c r="R180" t="s">
        <v>30</v>
      </c>
      <c r="S180" t="s">
        <v>58</v>
      </c>
    </row>
    <row r="181" spans="1:19" x14ac:dyDescent="0.25">
      <c r="A181" t="s">
        <v>27</v>
      </c>
      <c r="B181" t="s">
        <v>27</v>
      </c>
      <c r="C181" t="s">
        <v>27</v>
      </c>
      <c r="D181" s="7">
        <v>45839</v>
      </c>
      <c r="E181" s="6">
        <v>-3000</v>
      </c>
      <c r="F181" t="s">
        <v>148</v>
      </c>
      <c r="G181" t="s">
        <v>149</v>
      </c>
      <c r="H181" t="s">
        <v>30</v>
      </c>
      <c r="I181" t="s">
        <v>145</v>
      </c>
      <c r="K181" t="s">
        <v>27</v>
      </c>
      <c r="L181" t="s">
        <v>27</v>
      </c>
      <c r="M181" t="s">
        <v>27</v>
      </c>
      <c r="N181" s="7">
        <v>45870</v>
      </c>
      <c r="O181" s="6">
        <v>-545.8125</v>
      </c>
      <c r="P181" t="s">
        <v>89</v>
      </c>
      <c r="Q181" t="s">
        <v>57</v>
      </c>
      <c r="R181" t="s">
        <v>30</v>
      </c>
      <c r="S181" t="s">
        <v>58</v>
      </c>
    </row>
    <row r="182" spans="1:19" x14ac:dyDescent="0.25">
      <c r="A182" t="s">
        <v>27</v>
      </c>
      <c r="B182" t="s">
        <v>27</v>
      </c>
      <c r="C182" t="s">
        <v>27</v>
      </c>
      <c r="D182" s="7">
        <v>45870</v>
      </c>
      <c r="E182" s="6">
        <v>-3000</v>
      </c>
      <c r="F182" t="s">
        <v>148</v>
      </c>
      <c r="G182" t="s">
        <v>149</v>
      </c>
      <c r="H182" t="s">
        <v>30</v>
      </c>
      <c r="I182" t="s">
        <v>145</v>
      </c>
      <c r="K182" t="s">
        <v>27</v>
      </c>
      <c r="L182" t="s">
        <v>27</v>
      </c>
      <c r="M182" t="s">
        <v>27</v>
      </c>
      <c r="N182" s="7">
        <v>45870</v>
      </c>
      <c r="O182" s="6">
        <v>-545.8125</v>
      </c>
      <c r="P182" t="s">
        <v>89</v>
      </c>
      <c r="Q182" t="s">
        <v>57</v>
      </c>
      <c r="R182" t="s">
        <v>30</v>
      </c>
      <c r="S182" t="s">
        <v>58</v>
      </c>
    </row>
    <row r="183" spans="1:19" x14ac:dyDescent="0.25">
      <c r="A183" t="s">
        <v>27</v>
      </c>
      <c r="B183" t="s">
        <v>27</v>
      </c>
      <c r="C183" t="s">
        <v>27</v>
      </c>
      <c r="D183" s="7">
        <v>45901</v>
      </c>
      <c r="E183" s="6">
        <v>-3000</v>
      </c>
      <c r="F183" t="s">
        <v>148</v>
      </c>
      <c r="G183" t="s">
        <v>149</v>
      </c>
      <c r="H183" t="s">
        <v>30</v>
      </c>
      <c r="I183" t="s">
        <v>145</v>
      </c>
      <c r="K183" t="s">
        <v>27</v>
      </c>
      <c r="L183" t="s">
        <v>27</v>
      </c>
      <c r="M183" t="s">
        <v>27</v>
      </c>
      <c r="N183" s="7">
        <v>45839</v>
      </c>
      <c r="O183" s="6">
        <v>-4305</v>
      </c>
      <c r="P183" t="s">
        <v>90</v>
      </c>
      <c r="Q183" t="s">
        <v>57</v>
      </c>
      <c r="R183" t="s">
        <v>30</v>
      </c>
      <c r="S183" t="s">
        <v>58</v>
      </c>
    </row>
    <row r="184" spans="1:19" x14ac:dyDescent="0.25">
      <c r="A184" t="s">
        <v>27</v>
      </c>
      <c r="B184" t="s">
        <v>27</v>
      </c>
      <c r="C184" t="s">
        <v>27</v>
      </c>
      <c r="D184" s="7">
        <v>45931</v>
      </c>
      <c r="E184" s="6">
        <v>-3000</v>
      </c>
      <c r="F184" t="s">
        <v>148</v>
      </c>
      <c r="G184" t="s">
        <v>149</v>
      </c>
      <c r="H184" t="s">
        <v>30</v>
      </c>
      <c r="I184" t="s">
        <v>145</v>
      </c>
      <c r="K184" t="s">
        <v>27</v>
      </c>
      <c r="L184" t="s">
        <v>27</v>
      </c>
      <c r="M184" t="s">
        <v>27</v>
      </c>
      <c r="N184" s="7">
        <v>45839</v>
      </c>
      <c r="O184" s="6">
        <v>-4305</v>
      </c>
      <c r="P184" t="s">
        <v>90</v>
      </c>
      <c r="Q184" t="s">
        <v>57</v>
      </c>
      <c r="R184" t="s">
        <v>30</v>
      </c>
      <c r="S184" t="s">
        <v>58</v>
      </c>
    </row>
    <row r="185" spans="1:19" x14ac:dyDescent="0.25">
      <c r="A185" t="s">
        <v>27</v>
      </c>
      <c r="B185" t="s">
        <v>27</v>
      </c>
      <c r="C185" t="s">
        <v>27</v>
      </c>
      <c r="D185" s="7">
        <v>45962</v>
      </c>
      <c r="E185" s="6">
        <v>-3000</v>
      </c>
      <c r="F185" t="s">
        <v>148</v>
      </c>
      <c r="G185" t="s">
        <v>149</v>
      </c>
      <c r="H185" t="s">
        <v>30</v>
      </c>
      <c r="I185" t="s">
        <v>145</v>
      </c>
      <c r="K185" t="s">
        <v>27</v>
      </c>
      <c r="L185" t="s">
        <v>27</v>
      </c>
      <c r="M185" t="s">
        <v>27</v>
      </c>
      <c r="N185" s="7">
        <v>45870</v>
      </c>
      <c r="O185" s="6">
        <v>-4305</v>
      </c>
      <c r="P185" t="s">
        <v>90</v>
      </c>
      <c r="Q185" t="s">
        <v>57</v>
      </c>
      <c r="R185" t="s">
        <v>30</v>
      </c>
      <c r="S185" t="s">
        <v>58</v>
      </c>
    </row>
    <row r="186" spans="1:19" x14ac:dyDescent="0.25">
      <c r="A186" t="s">
        <v>27</v>
      </c>
      <c r="B186" t="s">
        <v>27</v>
      </c>
      <c r="C186" t="s">
        <v>27</v>
      </c>
      <c r="D186" s="7">
        <v>45992</v>
      </c>
      <c r="E186" s="6">
        <v>-3000</v>
      </c>
      <c r="F186" t="s">
        <v>148</v>
      </c>
      <c r="G186" t="s">
        <v>149</v>
      </c>
      <c r="H186" t="s">
        <v>30</v>
      </c>
      <c r="I186" t="s">
        <v>145</v>
      </c>
      <c r="K186" t="s">
        <v>27</v>
      </c>
      <c r="L186" t="s">
        <v>27</v>
      </c>
      <c r="M186" t="s">
        <v>27</v>
      </c>
      <c r="N186" s="7">
        <v>45870</v>
      </c>
      <c r="O186" s="6">
        <v>-4305</v>
      </c>
      <c r="P186" t="s">
        <v>90</v>
      </c>
      <c r="Q186" t="s">
        <v>57</v>
      </c>
      <c r="R186" t="s">
        <v>30</v>
      </c>
      <c r="S186" t="s">
        <v>58</v>
      </c>
    </row>
    <row r="187" spans="1:19" x14ac:dyDescent="0.25">
      <c r="A187" t="s">
        <v>27</v>
      </c>
      <c r="B187" t="s">
        <v>27</v>
      </c>
      <c r="C187" t="s">
        <v>27</v>
      </c>
      <c r="D187" s="7">
        <v>45658</v>
      </c>
      <c r="E187" s="6">
        <v>-12500</v>
      </c>
      <c r="F187" t="s">
        <v>150</v>
      </c>
      <c r="G187" t="s">
        <v>151</v>
      </c>
      <c r="H187" t="s">
        <v>30</v>
      </c>
      <c r="I187" t="s">
        <v>145</v>
      </c>
      <c r="K187" t="s">
        <v>27</v>
      </c>
      <c r="L187" t="s">
        <v>27</v>
      </c>
      <c r="M187" t="s">
        <v>27</v>
      </c>
      <c r="N187" s="7">
        <v>45839</v>
      </c>
      <c r="O187" s="6">
        <v>-92.25</v>
      </c>
      <c r="P187" t="s">
        <v>91</v>
      </c>
      <c r="Q187" t="s">
        <v>57</v>
      </c>
      <c r="R187" t="s">
        <v>30</v>
      </c>
      <c r="S187" t="s">
        <v>58</v>
      </c>
    </row>
    <row r="188" spans="1:19" x14ac:dyDescent="0.25">
      <c r="A188" t="s">
        <v>27</v>
      </c>
      <c r="B188" t="s">
        <v>27</v>
      </c>
      <c r="C188" t="s">
        <v>27</v>
      </c>
      <c r="D188" s="7">
        <v>45689</v>
      </c>
      <c r="E188" s="6">
        <v>-12500</v>
      </c>
      <c r="F188" t="s">
        <v>150</v>
      </c>
      <c r="G188" t="s">
        <v>151</v>
      </c>
      <c r="H188" t="s">
        <v>30</v>
      </c>
      <c r="I188" t="s">
        <v>145</v>
      </c>
      <c r="K188" t="s">
        <v>27</v>
      </c>
      <c r="L188" t="s">
        <v>27</v>
      </c>
      <c r="M188" t="s">
        <v>27</v>
      </c>
      <c r="N188" s="7">
        <v>45839</v>
      </c>
      <c r="O188" s="6">
        <v>-92.25</v>
      </c>
      <c r="P188" t="s">
        <v>91</v>
      </c>
      <c r="Q188" t="s">
        <v>57</v>
      </c>
      <c r="R188" t="s">
        <v>30</v>
      </c>
      <c r="S188" t="s">
        <v>58</v>
      </c>
    </row>
    <row r="189" spans="1:19" x14ac:dyDescent="0.25">
      <c r="A189" t="s">
        <v>27</v>
      </c>
      <c r="B189" t="s">
        <v>27</v>
      </c>
      <c r="C189" t="s">
        <v>27</v>
      </c>
      <c r="D189" s="7">
        <v>45717</v>
      </c>
      <c r="E189" s="6">
        <v>-12500</v>
      </c>
      <c r="F189" t="s">
        <v>150</v>
      </c>
      <c r="G189" t="s">
        <v>151</v>
      </c>
      <c r="H189" t="s">
        <v>30</v>
      </c>
      <c r="I189" t="s">
        <v>145</v>
      </c>
      <c r="K189" t="s">
        <v>27</v>
      </c>
      <c r="L189" t="s">
        <v>27</v>
      </c>
      <c r="M189" t="s">
        <v>27</v>
      </c>
      <c r="N189" s="7">
        <v>45870</v>
      </c>
      <c r="O189" s="6">
        <v>-92.25</v>
      </c>
      <c r="P189" t="s">
        <v>91</v>
      </c>
      <c r="Q189" t="s">
        <v>57</v>
      </c>
      <c r="R189" t="s">
        <v>30</v>
      </c>
      <c r="S189" t="s">
        <v>58</v>
      </c>
    </row>
    <row r="190" spans="1:19" x14ac:dyDescent="0.25">
      <c r="A190" t="s">
        <v>27</v>
      </c>
      <c r="B190" t="s">
        <v>27</v>
      </c>
      <c r="C190" t="s">
        <v>27</v>
      </c>
      <c r="D190" s="7">
        <v>45748</v>
      </c>
      <c r="E190" s="6">
        <v>-12500</v>
      </c>
      <c r="F190" t="s">
        <v>150</v>
      </c>
      <c r="G190" t="s">
        <v>151</v>
      </c>
      <c r="H190" t="s">
        <v>30</v>
      </c>
      <c r="I190" t="s">
        <v>145</v>
      </c>
      <c r="K190" t="s">
        <v>27</v>
      </c>
      <c r="L190" t="s">
        <v>27</v>
      </c>
      <c r="M190" t="s">
        <v>27</v>
      </c>
      <c r="N190" s="7">
        <v>45870</v>
      </c>
      <c r="O190" s="6">
        <v>-92.25</v>
      </c>
      <c r="P190" t="s">
        <v>91</v>
      </c>
      <c r="Q190" t="s">
        <v>57</v>
      </c>
      <c r="R190" t="s">
        <v>30</v>
      </c>
      <c r="S190" t="s">
        <v>58</v>
      </c>
    </row>
    <row r="191" spans="1:19" x14ac:dyDescent="0.25">
      <c r="A191" t="s">
        <v>27</v>
      </c>
      <c r="B191" t="s">
        <v>27</v>
      </c>
      <c r="C191" t="s">
        <v>27</v>
      </c>
      <c r="D191" s="7">
        <v>45778</v>
      </c>
      <c r="E191" s="6">
        <v>-12500</v>
      </c>
      <c r="F191" t="s">
        <v>150</v>
      </c>
      <c r="G191" t="s">
        <v>151</v>
      </c>
      <c r="H191" t="s">
        <v>30</v>
      </c>
      <c r="I191" t="s">
        <v>145</v>
      </c>
      <c r="K191" t="s">
        <v>27</v>
      </c>
      <c r="L191" t="s">
        <v>27</v>
      </c>
      <c r="M191" t="s">
        <v>27</v>
      </c>
      <c r="N191" s="7">
        <v>45839</v>
      </c>
      <c r="O191" s="6">
        <v>-92.25</v>
      </c>
      <c r="P191" t="s">
        <v>92</v>
      </c>
      <c r="Q191" t="s">
        <v>57</v>
      </c>
      <c r="R191" t="s">
        <v>30</v>
      </c>
      <c r="S191" t="s">
        <v>58</v>
      </c>
    </row>
    <row r="192" spans="1:19" x14ac:dyDescent="0.25">
      <c r="A192" t="s">
        <v>27</v>
      </c>
      <c r="B192" t="s">
        <v>27</v>
      </c>
      <c r="C192" t="s">
        <v>27</v>
      </c>
      <c r="D192" s="7">
        <v>45809</v>
      </c>
      <c r="E192" s="6">
        <v>-12500</v>
      </c>
      <c r="F192" t="s">
        <v>150</v>
      </c>
      <c r="G192" t="s">
        <v>151</v>
      </c>
      <c r="H192" t="s">
        <v>30</v>
      </c>
      <c r="I192" t="s">
        <v>145</v>
      </c>
      <c r="K192" t="s">
        <v>27</v>
      </c>
      <c r="L192" t="s">
        <v>27</v>
      </c>
      <c r="M192" t="s">
        <v>27</v>
      </c>
      <c r="N192" s="7">
        <v>45839</v>
      </c>
      <c r="O192" s="6">
        <v>-92.25</v>
      </c>
      <c r="P192" t="s">
        <v>92</v>
      </c>
      <c r="Q192" t="s">
        <v>57</v>
      </c>
      <c r="R192" t="s">
        <v>30</v>
      </c>
      <c r="S192" t="s">
        <v>58</v>
      </c>
    </row>
    <row r="193" spans="1:19" x14ac:dyDescent="0.25">
      <c r="A193" t="s">
        <v>27</v>
      </c>
      <c r="B193" t="s">
        <v>27</v>
      </c>
      <c r="C193" t="s">
        <v>27</v>
      </c>
      <c r="D193" s="7">
        <v>45839</v>
      </c>
      <c r="E193" s="6">
        <v>-12500</v>
      </c>
      <c r="F193" t="s">
        <v>150</v>
      </c>
      <c r="G193" t="s">
        <v>151</v>
      </c>
      <c r="H193" t="s">
        <v>30</v>
      </c>
      <c r="I193" t="s">
        <v>145</v>
      </c>
      <c r="K193" t="s">
        <v>27</v>
      </c>
      <c r="L193" t="s">
        <v>27</v>
      </c>
      <c r="M193" t="s">
        <v>27</v>
      </c>
      <c r="N193" s="7">
        <v>45870</v>
      </c>
      <c r="O193" s="6">
        <v>-92.25</v>
      </c>
      <c r="P193" t="s">
        <v>92</v>
      </c>
      <c r="Q193" t="s">
        <v>57</v>
      </c>
      <c r="R193" t="s">
        <v>30</v>
      </c>
      <c r="S193" t="s">
        <v>58</v>
      </c>
    </row>
    <row r="194" spans="1:19" x14ac:dyDescent="0.25">
      <c r="A194" t="s">
        <v>27</v>
      </c>
      <c r="B194" t="s">
        <v>27</v>
      </c>
      <c r="C194" t="s">
        <v>27</v>
      </c>
      <c r="D194" s="7">
        <v>45870</v>
      </c>
      <c r="E194" s="6">
        <v>-12500</v>
      </c>
      <c r="F194" t="s">
        <v>150</v>
      </c>
      <c r="G194" t="s">
        <v>151</v>
      </c>
      <c r="H194" t="s">
        <v>30</v>
      </c>
      <c r="I194" t="s">
        <v>145</v>
      </c>
      <c r="K194" t="s">
        <v>27</v>
      </c>
      <c r="L194" t="s">
        <v>27</v>
      </c>
      <c r="M194" t="s">
        <v>27</v>
      </c>
      <c r="N194" s="7">
        <v>45870</v>
      </c>
      <c r="O194" s="6">
        <v>-92.25</v>
      </c>
      <c r="P194" t="s">
        <v>92</v>
      </c>
      <c r="Q194" t="s">
        <v>57</v>
      </c>
      <c r="R194" t="s">
        <v>30</v>
      </c>
      <c r="S194" t="s">
        <v>58</v>
      </c>
    </row>
    <row r="195" spans="1:19" x14ac:dyDescent="0.25">
      <c r="A195" t="s">
        <v>27</v>
      </c>
      <c r="B195" t="s">
        <v>27</v>
      </c>
      <c r="C195" t="s">
        <v>27</v>
      </c>
      <c r="D195" s="7">
        <v>45901</v>
      </c>
      <c r="E195" s="6">
        <v>-12500</v>
      </c>
      <c r="F195" t="s">
        <v>150</v>
      </c>
      <c r="G195" t="s">
        <v>151</v>
      </c>
      <c r="H195" t="s">
        <v>30</v>
      </c>
      <c r="I195" t="s">
        <v>145</v>
      </c>
      <c r="K195" t="s">
        <v>27</v>
      </c>
      <c r="L195" t="s">
        <v>27</v>
      </c>
      <c r="M195" t="s">
        <v>27</v>
      </c>
      <c r="N195" s="7">
        <v>45870</v>
      </c>
      <c r="O195" s="6">
        <v>-7486.5026250000001</v>
      </c>
      <c r="P195" t="s">
        <v>93</v>
      </c>
      <c r="Q195" t="s">
        <v>57</v>
      </c>
      <c r="R195" t="s">
        <v>30</v>
      </c>
      <c r="S195" t="s">
        <v>58</v>
      </c>
    </row>
    <row r="196" spans="1:19" x14ac:dyDescent="0.25">
      <c r="A196" t="s">
        <v>27</v>
      </c>
      <c r="B196" t="s">
        <v>27</v>
      </c>
      <c r="C196" t="s">
        <v>27</v>
      </c>
      <c r="D196" s="7">
        <v>45931</v>
      </c>
      <c r="E196" s="6">
        <v>-12500</v>
      </c>
      <c r="F196" t="s">
        <v>150</v>
      </c>
      <c r="G196" t="s">
        <v>151</v>
      </c>
      <c r="H196" t="s">
        <v>30</v>
      </c>
      <c r="I196" t="s">
        <v>145</v>
      </c>
      <c r="K196" t="s">
        <v>27</v>
      </c>
      <c r="L196" t="s">
        <v>27</v>
      </c>
      <c r="M196" t="s">
        <v>27</v>
      </c>
      <c r="N196" s="7">
        <v>45870</v>
      </c>
      <c r="O196" s="6">
        <v>-7486.5026250000001</v>
      </c>
      <c r="P196" t="s">
        <v>93</v>
      </c>
      <c r="Q196" t="s">
        <v>57</v>
      </c>
      <c r="R196" t="s">
        <v>30</v>
      </c>
      <c r="S196" t="s">
        <v>58</v>
      </c>
    </row>
    <row r="197" spans="1:19" x14ac:dyDescent="0.25">
      <c r="A197" t="s">
        <v>27</v>
      </c>
      <c r="B197" t="s">
        <v>27</v>
      </c>
      <c r="C197" t="s">
        <v>27</v>
      </c>
      <c r="D197" s="7">
        <v>45962</v>
      </c>
      <c r="E197" s="6">
        <v>-12500</v>
      </c>
      <c r="F197" t="s">
        <v>150</v>
      </c>
      <c r="G197" t="s">
        <v>151</v>
      </c>
      <c r="H197" t="s">
        <v>30</v>
      </c>
      <c r="I197" t="s">
        <v>145</v>
      </c>
      <c r="K197" t="s">
        <v>27</v>
      </c>
      <c r="L197" t="s">
        <v>27</v>
      </c>
      <c r="M197" t="s">
        <v>27</v>
      </c>
      <c r="N197" s="7">
        <v>45901</v>
      </c>
      <c r="O197" s="6">
        <v>-7486.5026250000001</v>
      </c>
      <c r="P197" t="s">
        <v>93</v>
      </c>
      <c r="Q197" t="s">
        <v>57</v>
      </c>
      <c r="R197" t="s">
        <v>30</v>
      </c>
      <c r="S197" t="s">
        <v>58</v>
      </c>
    </row>
    <row r="198" spans="1:19" x14ac:dyDescent="0.25">
      <c r="A198" t="s">
        <v>27</v>
      </c>
      <c r="B198" t="s">
        <v>27</v>
      </c>
      <c r="C198" t="s">
        <v>27</v>
      </c>
      <c r="D198" s="7">
        <v>45992</v>
      </c>
      <c r="E198" s="6">
        <v>-12500</v>
      </c>
      <c r="F198" t="s">
        <v>150</v>
      </c>
      <c r="G198" t="s">
        <v>151</v>
      </c>
      <c r="H198" t="s">
        <v>30</v>
      </c>
      <c r="I198" t="s">
        <v>145</v>
      </c>
      <c r="K198" t="s">
        <v>27</v>
      </c>
      <c r="L198" t="s">
        <v>27</v>
      </c>
      <c r="M198" t="s">
        <v>27</v>
      </c>
      <c r="N198" s="7">
        <v>45901</v>
      </c>
      <c r="O198" s="6">
        <v>-7486.5026250000001</v>
      </c>
      <c r="P198" t="s">
        <v>93</v>
      </c>
      <c r="Q198" t="s">
        <v>57</v>
      </c>
      <c r="R198" t="s">
        <v>30</v>
      </c>
      <c r="S198" t="s">
        <v>58</v>
      </c>
    </row>
    <row r="199" spans="1:19" x14ac:dyDescent="0.25">
      <c r="A199" t="s">
        <v>27</v>
      </c>
      <c r="B199" t="s">
        <v>27</v>
      </c>
      <c r="C199" t="s">
        <v>27</v>
      </c>
      <c r="D199" s="7">
        <v>45658</v>
      </c>
      <c r="E199" s="6">
        <v>-15000</v>
      </c>
      <c r="F199" t="s">
        <v>152</v>
      </c>
      <c r="G199" t="s">
        <v>153</v>
      </c>
      <c r="H199" t="s">
        <v>30</v>
      </c>
      <c r="I199" t="s">
        <v>145</v>
      </c>
      <c r="K199" t="s">
        <v>27</v>
      </c>
      <c r="L199" t="s">
        <v>27</v>
      </c>
      <c r="M199" t="s">
        <v>27</v>
      </c>
      <c r="N199" s="7">
        <v>45870</v>
      </c>
      <c r="O199" s="6">
        <v>-502.18849999999998</v>
      </c>
      <c r="P199" t="s">
        <v>94</v>
      </c>
      <c r="Q199" t="s">
        <v>57</v>
      </c>
      <c r="R199" t="s">
        <v>30</v>
      </c>
      <c r="S199" t="s">
        <v>58</v>
      </c>
    </row>
    <row r="200" spans="1:19" x14ac:dyDescent="0.25">
      <c r="A200" t="s">
        <v>27</v>
      </c>
      <c r="B200" t="s">
        <v>27</v>
      </c>
      <c r="C200" t="s">
        <v>27</v>
      </c>
      <c r="D200" s="7">
        <v>45689</v>
      </c>
      <c r="E200" s="6">
        <v>-15000</v>
      </c>
      <c r="F200" t="s">
        <v>152</v>
      </c>
      <c r="G200" t="s">
        <v>153</v>
      </c>
      <c r="H200" t="s">
        <v>30</v>
      </c>
      <c r="I200" t="s">
        <v>145</v>
      </c>
      <c r="K200" t="s">
        <v>27</v>
      </c>
      <c r="L200" t="s">
        <v>27</v>
      </c>
      <c r="M200" t="s">
        <v>27</v>
      </c>
      <c r="N200" s="7">
        <v>45870</v>
      </c>
      <c r="O200" s="6">
        <v>-502.18849999999998</v>
      </c>
      <c r="P200" t="s">
        <v>94</v>
      </c>
      <c r="Q200" t="s">
        <v>57</v>
      </c>
      <c r="R200" t="s">
        <v>30</v>
      </c>
      <c r="S200" t="s">
        <v>58</v>
      </c>
    </row>
    <row r="201" spans="1:19" x14ac:dyDescent="0.25">
      <c r="A201" t="s">
        <v>27</v>
      </c>
      <c r="B201" t="s">
        <v>27</v>
      </c>
      <c r="C201" t="s">
        <v>27</v>
      </c>
      <c r="D201" s="7">
        <v>45717</v>
      </c>
      <c r="E201" s="6">
        <v>-15000</v>
      </c>
      <c r="F201" t="s">
        <v>152</v>
      </c>
      <c r="G201" t="s">
        <v>153</v>
      </c>
      <c r="H201" t="s">
        <v>30</v>
      </c>
      <c r="I201" t="s">
        <v>145</v>
      </c>
      <c r="K201" t="s">
        <v>27</v>
      </c>
      <c r="L201" t="s">
        <v>27</v>
      </c>
      <c r="M201" t="s">
        <v>27</v>
      </c>
      <c r="N201" s="7">
        <v>45901</v>
      </c>
      <c r="O201" s="6">
        <v>-502.18849999999998</v>
      </c>
      <c r="P201" t="s">
        <v>94</v>
      </c>
      <c r="Q201" t="s">
        <v>57</v>
      </c>
      <c r="R201" t="s">
        <v>30</v>
      </c>
      <c r="S201" t="s">
        <v>58</v>
      </c>
    </row>
    <row r="202" spans="1:19" x14ac:dyDescent="0.25">
      <c r="A202" t="s">
        <v>27</v>
      </c>
      <c r="B202" t="s">
        <v>27</v>
      </c>
      <c r="C202" t="s">
        <v>27</v>
      </c>
      <c r="D202" s="7">
        <v>45748</v>
      </c>
      <c r="E202" s="6">
        <v>-15000</v>
      </c>
      <c r="F202" t="s">
        <v>152</v>
      </c>
      <c r="G202" t="s">
        <v>153</v>
      </c>
      <c r="H202" t="s">
        <v>30</v>
      </c>
      <c r="I202" t="s">
        <v>145</v>
      </c>
      <c r="K202" t="s">
        <v>27</v>
      </c>
      <c r="L202" t="s">
        <v>27</v>
      </c>
      <c r="M202" t="s">
        <v>27</v>
      </c>
      <c r="N202" s="7">
        <v>45901</v>
      </c>
      <c r="O202" s="6">
        <v>-502.18849999999998</v>
      </c>
      <c r="P202" t="s">
        <v>94</v>
      </c>
      <c r="Q202" t="s">
        <v>57</v>
      </c>
      <c r="R202" t="s">
        <v>30</v>
      </c>
      <c r="S202" t="s">
        <v>58</v>
      </c>
    </row>
    <row r="203" spans="1:19" x14ac:dyDescent="0.25">
      <c r="A203" t="s">
        <v>27</v>
      </c>
      <c r="B203" t="s">
        <v>27</v>
      </c>
      <c r="C203" t="s">
        <v>27</v>
      </c>
      <c r="D203" s="7">
        <v>45778</v>
      </c>
      <c r="E203" s="6">
        <v>-15000</v>
      </c>
      <c r="F203" t="s">
        <v>152</v>
      </c>
      <c r="G203" t="s">
        <v>153</v>
      </c>
      <c r="H203" t="s">
        <v>30</v>
      </c>
      <c r="I203" t="s">
        <v>145</v>
      </c>
      <c r="K203" t="s">
        <v>27</v>
      </c>
      <c r="L203" t="s">
        <v>27</v>
      </c>
      <c r="M203" t="s">
        <v>27</v>
      </c>
      <c r="N203" s="7">
        <v>45870</v>
      </c>
      <c r="O203" s="6">
        <v>-3947.6849999999999</v>
      </c>
      <c r="P203" t="s">
        <v>95</v>
      </c>
      <c r="Q203" t="s">
        <v>57</v>
      </c>
      <c r="R203" t="s">
        <v>30</v>
      </c>
      <c r="S203" t="s">
        <v>58</v>
      </c>
    </row>
    <row r="204" spans="1:19" x14ac:dyDescent="0.25">
      <c r="A204" t="s">
        <v>27</v>
      </c>
      <c r="B204" t="s">
        <v>27</v>
      </c>
      <c r="C204" t="s">
        <v>27</v>
      </c>
      <c r="D204" s="7">
        <v>45809</v>
      </c>
      <c r="E204" s="6">
        <v>-15000</v>
      </c>
      <c r="F204" t="s">
        <v>152</v>
      </c>
      <c r="G204" t="s">
        <v>153</v>
      </c>
      <c r="H204" t="s">
        <v>30</v>
      </c>
      <c r="I204" t="s">
        <v>145</v>
      </c>
      <c r="K204" t="s">
        <v>27</v>
      </c>
      <c r="L204" t="s">
        <v>27</v>
      </c>
      <c r="M204" t="s">
        <v>27</v>
      </c>
      <c r="N204" s="7">
        <v>45870</v>
      </c>
      <c r="O204" s="6">
        <v>-3947.6849999999999</v>
      </c>
      <c r="P204" t="s">
        <v>95</v>
      </c>
      <c r="Q204" t="s">
        <v>57</v>
      </c>
      <c r="R204" t="s">
        <v>30</v>
      </c>
      <c r="S204" t="s">
        <v>58</v>
      </c>
    </row>
    <row r="205" spans="1:19" x14ac:dyDescent="0.25">
      <c r="A205" t="s">
        <v>27</v>
      </c>
      <c r="B205" t="s">
        <v>27</v>
      </c>
      <c r="C205" t="s">
        <v>27</v>
      </c>
      <c r="D205" s="7">
        <v>45839</v>
      </c>
      <c r="E205" s="6">
        <v>-15000</v>
      </c>
      <c r="F205" t="s">
        <v>152</v>
      </c>
      <c r="G205" t="s">
        <v>153</v>
      </c>
      <c r="H205" t="s">
        <v>30</v>
      </c>
      <c r="I205" t="s">
        <v>145</v>
      </c>
      <c r="K205" t="s">
        <v>27</v>
      </c>
      <c r="L205" t="s">
        <v>27</v>
      </c>
      <c r="M205" t="s">
        <v>27</v>
      </c>
      <c r="N205" s="7">
        <v>45901</v>
      </c>
      <c r="O205" s="6">
        <v>-3947.6849999999999</v>
      </c>
      <c r="P205" t="s">
        <v>95</v>
      </c>
      <c r="Q205" t="s">
        <v>57</v>
      </c>
      <c r="R205" t="s">
        <v>30</v>
      </c>
      <c r="S205" t="s">
        <v>58</v>
      </c>
    </row>
    <row r="206" spans="1:19" x14ac:dyDescent="0.25">
      <c r="A206" t="s">
        <v>27</v>
      </c>
      <c r="B206" t="s">
        <v>27</v>
      </c>
      <c r="C206" t="s">
        <v>27</v>
      </c>
      <c r="D206" s="7">
        <v>45870</v>
      </c>
      <c r="E206" s="6">
        <v>-15000</v>
      </c>
      <c r="F206" t="s">
        <v>152</v>
      </c>
      <c r="G206" t="s">
        <v>153</v>
      </c>
      <c r="H206" t="s">
        <v>30</v>
      </c>
      <c r="I206" t="s">
        <v>145</v>
      </c>
      <c r="K206" t="s">
        <v>27</v>
      </c>
      <c r="L206" t="s">
        <v>27</v>
      </c>
      <c r="M206" t="s">
        <v>27</v>
      </c>
      <c r="N206" s="7">
        <v>45901</v>
      </c>
      <c r="O206" s="6">
        <v>-3947.6849999999999</v>
      </c>
      <c r="P206" t="s">
        <v>95</v>
      </c>
      <c r="Q206" t="s">
        <v>57</v>
      </c>
      <c r="R206" t="s">
        <v>30</v>
      </c>
      <c r="S206" t="s">
        <v>58</v>
      </c>
    </row>
    <row r="207" spans="1:19" x14ac:dyDescent="0.25">
      <c r="A207" t="s">
        <v>27</v>
      </c>
      <c r="B207" t="s">
        <v>27</v>
      </c>
      <c r="C207" t="s">
        <v>27</v>
      </c>
      <c r="D207" s="7">
        <v>45901</v>
      </c>
      <c r="E207" s="6">
        <v>-15000</v>
      </c>
      <c r="F207" t="s">
        <v>152</v>
      </c>
      <c r="G207" t="s">
        <v>153</v>
      </c>
      <c r="H207" t="s">
        <v>30</v>
      </c>
      <c r="I207" t="s">
        <v>145</v>
      </c>
      <c r="K207" t="s">
        <v>27</v>
      </c>
      <c r="L207" t="s">
        <v>27</v>
      </c>
      <c r="M207" t="s">
        <v>27</v>
      </c>
      <c r="N207" s="7">
        <v>45870</v>
      </c>
      <c r="O207" s="6">
        <v>-84.593250000000012</v>
      </c>
      <c r="P207" t="s">
        <v>96</v>
      </c>
      <c r="Q207" t="s">
        <v>57</v>
      </c>
      <c r="R207" t="s">
        <v>30</v>
      </c>
      <c r="S207" t="s">
        <v>58</v>
      </c>
    </row>
    <row r="208" spans="1:19" x14ac:dyDescent="0.25">
      <c r="A208" t="s">
        <v>27</v>
      </c>
      <c r="B208" t="s">
        <v>27</v>
      </c>
      <c r="C208" t="s">
        <v>27</v>
      </c>
      <c r="D208" s="7">
        <v>45931</v>
      </c>
      <c r="E208" s="6">
        <v>-15000</v>
      </c>
      <c r="F208" t="s">
        <v>152</v>
      </c>
      <c r="G208" t="s">
        <v>153</v>
      </c>
      <c r="H208" t="s">
        <v>30</v>
      </c>
      <c r="I208" t="s">
        <v>145</v>
      </c>
      <c r="K208" t="s">
        <v>27</v>
      </c>
      <c r="L208" t="s">
        <v>27</v>
      </c>
      <c r="M208" t="s">
        <v>27</v>
      </c>
      <c r="N208" s="7">
        <v>45870</v>
      </c>
      <c r="O208" s="6">
        <v>-84.593250000000012</v>
      </c>
      <c r="P208" t="s">
        <v>96</v>
      </c>
      <c r="Q208" t="s">
        <v>57</v>
      </c>
      <c r="R208" t="s">
        <v>30</v>
      </c>
      <c r="S208" t="s">
        <v>58</v>
      </c>
    </row>
    <row r="209" spans="1:19" x14ac:dyDescent="0.25">
      <c r="A209" t="s">
        <v>27</v>
      </c>
      <c r="B209" t="s">
        <v>27</v>
      </c>
      <c r="C209" t="s">
        <v>27</v>
      </c>
      <c r="D209" s="7">
        <v>45962</v>
      </c>
      <c r="E209" s="6">
        <v>-15000</v>
      </c>
      <c r="F209" t="s">
        <v>152</v>
      </c>
      <c r="G209" t="s">
        <v>153</v>
      </c>
      <c r="H209" t="s">
        <v>30</v>
      </c>
      <c r="I209" t="s">
        <v>145</v>
      </c>
      <c r="K209" t="s">
        <v>27</v>
      </c>
      <c r="L209" t="s">
        <v>27</v>
      </c>
      <c r="M209" t="s">
        <v>27</v>
      </c>
      <c r="N209" s="7">
        <v>45901</v>
      </c>
      <c r="O209" s="6">
        <v>-84.593250000000012</v>
      </c>
      <c r="P209" t="s">
        <v>96</v>
      </c>
      <c r="Q209" t="s">
        <v>57</v>
      </c>
      <c r="R209" t="s">
        <v>30</v>
      </c>
      <c r="S209" t="s">
        <v>58</v>
      </c>
    </row>
    <row r="210" spans="1:19" x14ac:dyDescent="0.25">
      <c r="A210" t="s">
        <v>27</v>
      </c>
      <c r="B210" t="s">
        <v>27</v>
      </c>
      <c r="C210" t="s">
        <v>27</v>
      </c>
      <c r="D210" s="7">
        <v>45992</v>
      </c>
      <c r="E210" s="6">
        <v>-15000</v>
      </c>
      <c r="F210" t="s">
        <v>152</v>
      </c>
      <c r="G210" t="s">
        <v>153</v>
      </c>
      <c r="H210" t="s">
        <v>30</v>
      </c>
      <c r="I210" t="s">
        <v>145</v>
      </c>
      <c r="K210" t="s">
        <v>27</v>
      </c>
      <c r="L210" t="s">
        <v>27</v>
      </c>
      <c r="M210" t="s">
        <v>27</v>
      </c>
      <c r="N210" s="7">
        <v>45901</v>
      </c>
      <c r="O210" s="6">
        <v>-84.593250000000012</v>
      </c>
      <c r="P210" t="s">
        <v>96</v>
      </c>
      <c r="Q210" t="s">
        <v>57</v>
      </c>
      <c r="R210" t="s">
        <v>30</v>
      </c>
      <c r="S210" t="s">
        <v>58</v>
      </c>
    </row>
    <row r="211" spans="1:19" x14ac:dyDescent="0.25">
      <c r="A211" t="s">
        <v>27</v>
      </c>
      <c r="B211" t="s">
        <v>27</v>
      </c>
      <c r="C211" t="s">
        <v>27</v>
      </c>
      <c r="D211" s="7">
        <v>45658</v>
      </c>
      <c r="E211" s="6">
        <v>-2500</v>
      </c>
      <c r="F211" t="s">
        <v>154</v>
      </c>
      <c r="G211" t="s">
        <v>155</v>
      </c>
      <c r="H211" t="s">
        <v>30</v>
      </c>
      <c r="I211" t="s">
        <v>145</v>
      </c>
      <c r="K211" t="s">
        <v>27</v>
      </c>
      <c r="L211" t="s">
        <v>27</v>
      </c>
      <c r="M211" t="s">
        <v>27</v>
      </c>
      <c r="N211" s="7">
        <v>45870</v>
      </c>
      <c r="O211" s="6">
        <v>-84.593250000000012</v>
      </c>
      <c r="P211" t="s">
        <v>97</v>
      </c>
      <c r="Q211" t="s">
        <v>57</v>
      </c>
      <c r="R211" t="s">
        <v>30</v>
      </c>
      <c r="S211" t="s">
        <v>58</v>
      </c>
    </row>
    <row r="212" spans="1:19" x14ac:dyDescent="0.25">
      <c r="A212" t="s">
        <v>27</v>
      </c>
      <c r="B212" t="s">
        <v>27</v>
      </c>
      <c r="C212" t="s">
        <v>27</v>
      </c>
      <c r="D212" s="7">
        <v>45689</v>
      </c>
      <c r="E212" s="6">
        <v>-2500</v>
      </c>
      <c r="F212" t="s">
        <v>154</v>
      </c>
      <c r="G212" t="s">
        <v>155</v>
      </c>
      <c r="H212" t="s">
        <v>30</v>
      </c>
      <c r="I212" t="s">
        <v>145</v>
      </c>
      <c r="K212" t="s">
        <v>27</v>
      </c>
      <c r="L212" t="s">
        <v>27</v>
      </c>
      <c r="M212" t="s">
        <v>27</v>
      </c>
      <c r="N212" s="7">
        <v>45870</v>
      </c>
      <c r="O212" s="6">
        <v>-84.593250000000012</v>
      </c>
      <c r="P212" t="s">
        <v>97</v>
      </c>
      <c r="Q212" t="s">
        <v>57</v>
      </c>
      <c r="R212" t="s">
        <v>30</v>
      </c>
      <c r="S212" t="s">
        <v>58</v>
      </c>
    </row>
    <row r="213" spans="1:19" x14ac:dyDescent="0.25">
      <c r="A213" t="s">
        <v>27</v>
      </c>
      <c r="B213" t="s">
        <v>27</v>
      </c>
      <c r="C213" t="s">
        <v>27</v>
      </c>
      <c r="D213" s="7">
        <v>45717</v>
      </c>
      <c r="E213" s="6">
        <v>-2500</v>
      </c>
      <c r="F213" t="s">
        <v>154</v>
      </c>
      <c r="G213" t="s">
        <v>155</v>
      </c>
      <c r="H213" t="s">
        <v>30</v>
      </c>
      <c r="I213" t="s">
        <v>145</v>
      </c>
      <c r="K213" t="s">
        <v>27</v>
      </c>
      <c r="L213" t="s">
        <v>27</v>
      </c>
      <c r="M213" t="s">
        <v>27</v>
      </c>
      <c r="N213" s="7">
        <v>45901</v>
      </c>
      <c r="O213" s="6">
        <v>-84.593250000000012</v>
      </c>
      <c r="P213" t="s">
        <v>97</v>
      </c>
      <c r="Q213" t="s">
        <v>57</v>
      </c>
      <c r="R213" t="s">
        <v>30</v>
      </c>
      <c r="S213" t="s">
        <v>58</v>
      </c>
    </row>
    <row r="214" spans="1:19" x14ac:dyDescent="0.25">
      <c r="A214" t="s">
        <v>27</v>
      </c>
      <c r="B214" t="s">
        <v>27</v>
      </c>
      <c r="C214" t="s">
        <v>27</v>
      </c>
      <c r="D214" s="7">
        <v>45748</v>
      </c>
      <c r="E214" s="6">
        <v>-2500</v>
      </c>
      <c r="F214" t="s">
        <v>154</v>
      </c>
      <c r="G214" t="s">
        <v>155</v>
      </c>
      <c r="H214" t="s">
        <v>30</v>
      </c>
      <c r="I214" t="s">
        <v>145</v>
      </c>
      <c r="K214" t="s">
        <v>27</v>
      </c>
      <c r="L214" t="s">
        <v>27</v>
      </c>
      <c r="M214" t="s">
        <v>27</v>
      </c>
      <c r="N214" s="7">
        <v>45901</v>
      </c>
      <c r="O214" s="6">
        <v>-84.593250000000012</v>
      </c>
      <c r="P214" t="s">
        <v>97</v>
      </c>
      <c r="Q214" t="s">
        <v>57</v>
      </c>
      <c r="R214" t="s">
        <v>30</v>
      </c>
      <c r="S214" t="s">
        <v>58</v>
      </c>
    </row>
    <row r="215" spans="1:19" x14ac:dyDescent="0.25">
      <c r="A215" t="s">
        <v>27</v>
      </c>
      <c r="B215" t="s">
        <v>27</v>
      </c>
      <c r="C215" t="s">
        <v>27</v>
      </c>
      <c r="D215" s="7">
        <v>45778</v>
      </c>
      <c r="E215" s="6">
        <v>-2500</v>
      </c>
      <c r="F215" t="s">
        <v>154</v>
      </c>
      <c r="G215" t="s">
        <v>155</v>
      </c>
      <c r="H215" t="s">
        <v>30</v>
      </c>
      <c r="I215" t="s">
        <v>145</v>
      </c>
      <c r="K215" t="s">
        <v>27</v>
      </c>
      <c r="L215" t="s">
        <v>27</v>
      </c>
      <c r="M215" t="s">
        <v>27</v>
      </c>
      <c r="N215" s="7">
        <v>45901</v>
      </c>
      <c r="O215" s="6">
        <v>-7058.702475</v>
      </c>
      <c r="P215" t="s">
        <v>98</v>
      </c>
      <c r="Q215" t="s">
        <v>57</v>
      </c>
      <c r="R215" t="s">
        <v>30</v>
      </c>
      <c r="S215" t="s">
        <v>58</v>
      </c>
    </row>
    <row r="216" spans="1:19" x14ac:dyDescent="0.25">
      <c r="A216" t="s">
        <v>27</v>
      </c>
      <c r="B216" t="s">
        <v>27</v>
      </c>
      <c r="C216" t="s">
        <v>27</v>
      </c>
      <c r="D216" s="7">
        <v>45809</v>
      </c>
      <c r="E216" s="6">
        <v>-2500</v>
      </c>
      <c r="F216" t="s">
        <v>154</v>
      </c>
      <c r="G216" t="s">
        <v>155</v>
      </c>
      <c r="H216" t="s">
        <v>30</v>
      </c>
      <c r="I216" t="s">
        <v>145</v>
      </c>
      <c r="K216" t="s">
        <v>27</v>
      </c>
      <c r="L216" t="s">
        <v>27</v>
      </c>
      <c r="M216" t="s">
        <v>27</v>
      </c>
      <c r="N216" s="7">
        <v>45931</v>
      </c>
      <c r="O216" s="6">
        <v>-7058.702475</v>
      </c>
      <c r="P216" t="s">
        <v>98</v>
      </c>
      <c r="Q216" t="s">
        <v>57</v>
      </c>
      <c r="R216" t="s">
        <v>30</v>
      </c>
      <c r="S216" t="s">
        <v>58</v>
      </c>
    </row>
    <row r="217" spans="1:19" x14ac:dyDescent="0.25">
      <c r="A217" t="s">
        <v>27</v>
      </c>
      <c r="B217" t="s">
        <v>27</v>
      </c>
      <c r="C217" t="s">
        <v>27</v>
      </c>
      <c r="D217" s="7">
        <v>45839</v>
      </c>
      <c r="E217" s="6">
        <v>-2500</v>
      </c>
      <c r="F217" t="s">
        <v>154</v>
      </c>
      <c r="G217" t="s">
        <v>155</v>
      </c>
      <c r="H217" t="s">
        <v>30</v>
      </c>
      <c r="I217" t="s">
        <v>145</v>
      </c>
      <c r="K217" t="s">
        <v>27</v>
      </c>
      <c r="L217" t="s">
        <v>27</v>
      </c>
      <c r="M217" t="s">
        <v>27</v>
      </c>
      <c r="N217" s="7">
        <v>45931</v>
      </c>
      <c r="O217" s="6">
        <v>-7058.702475</v>
      </c>
      <c r="P217" t="s">
        <v>98</v>
      </c>
      <c r="Q217" t="s">
        <v>57</v>
      </c>
      <c r="R217" t="s">
        <v>30</v>
      </c>
      <c r="S217" t="s">
        <v>58</v>
      </c>
    </row>
    <row r="218" spans="1:19" x14ac:dyDescent="0.25">
      <c r="A218" t="s">
        <v>27</v>
      </c>
      <c r="B218" t="s">
        <v>27</v>
      </c>
      <c r="C218" t="s">
        <v>27</v>
      </c>
      <c r="D218" s="7">
        <v>45870</v>
      </c>
      <c r="E218" s="6">
        <v>-2500</v>
      </c>
      <c r="F218" t="s">
        <v>154</v>
      </c>
      <c r="G218" t="s">
        <v>155</v>
      </c>
      <c r="H218" t="s">
        <v>30</v>
      </c>
      <c r="I218" t="s">
        <v>145</v>
      </c>
      <c r="K218" t="s">
        <v>27</v>
      </c>
      <c r="L218" t="s">
        <v>27</v>
      </c>
      <c r="M218" t="s">
        <v>27</v>
      </c>
      <c r="N218" s="7">
        <v>45931</v>
      </c>
      <c r="O218" s="6">
        <v>-7058.702475</v>
      </c>
      <c r="P218" t="s">
        <v>98</v>
      </c>
      <c r="Q218" t="s">
        <v>57</v>
      </c>
      <c r="R218" t="s">
        <v>30</v>
      </c>
      <c r="S218" t="s">
        <v>58</v>
      </c>
    </row>
    <row r="219" spans="1:19" x14ac:dyDescent="0.25">
      <c r="A219" t="s">
        <v>27</v>
      </c>
      <c r="B219" t="s">
        <v>27</v>
      </c>
      <c r="C219" t="s">
        <v>27</v>
      </c>
      <c r="D219" s="7">
        <v>45901</v>
      </c>
      <c r="E219" s="6">
        <v>-2500</v>
      </c>
      <c r="F219" t="s">
        <v>154</v>
      </c>
      <c r="G219" t="s">
        <v>155</v>
      </c>
      <c r="H219" t="s">
        <v>30</v>
      </c>
      <c r="I219" t="s">
        <v>145</v>
      </c>
      <c r="K219" t="s">
        <v>27</v>
      </c>
      <c r="L219" t="s">
        <v>27</v>
      </c>
      <c r="M219" t="s">
        <v>27</v>
      </c>
      <c r="N219" s="7">
        <v>45901</v>
      </c>
      <c r="O219" s="6">
        <v>-472.64800000000002</v>
      </c>
      <c r="P219" t="s">
        <v>99</v>
      </c>
      <c r="Q219" t="s">
        <v>57</v>
      </c>
      <c r="R219" t="s">
        <v>30</v>
      </c>
      <c r="S219" t="s">
        <v>58</v>
      </c>
    </row>
    <row r="220" spans="1:19" x14ac:dyDescent="0.25">
      <c r="A220" t="s">
        <v>27</v>
      </c>
      <c r="B220" t="s">
        <v>27</v>
      </c>
      <c r="C220" t="s">
        <v>27</v>
      </c>
      <c r="D220" s="7">
        <v>45931</v>
      </c>
      <c r="E220" s="6">
        <v>-2500</v>
      </c>
      <c r="F220" t="s">
        <v>154</v>
      </c>
      <c r="G220" t="s">
        <v>155</v>
      </c>
      <c r="H220" t="s">
        <v>30</v>
      </c>
      <c r="I220" t="s">
        <v>145</v>
      </c>
      <c r="K220" t="s">
        <v>27</v>
      </c>
      <c r="L220" t="s">
        <v>27</v>
      </c>
      <c r="M220" t="s">
        <v>27</v>
      </c>
      <c r="N220" s="7">
        <v>45931</v>
      </c>
      <c r="O220" s="6">
        <v>-472.64800000000002</v>
      </c>
      <c r="P220" t="s">
        <v>99</v>
      </c>
      <c r="Q220" t="s">
        <v>57</v>
      </c>
      <c r="R220" t="s">
        <v>30</v>
      </c>
      <c r="S220" t="s">
        <v>58</v>
      </c>
    </row>
    <row r="221" spans="1:19" x14ac:dyDescent="0.25">
      <c r="A221" t="s">
        <v>27</v>
      </c>
      <c r="B221" t="s">
        <v>27</v>
      </c>
      <c r="C221" t="s">
        <v>27</v>
      </c>
      <c r="D221" s="7">
        <v>45962</v>
      </c>
      <c r="E221" s="6">
        <v>-2500</v>
      </c>
      <c r="F221" t="s">
        <v>154</v>
      </c>
      <c r="G221" t="s">
        <v>155</v>
      </c>
      <c r="H221" t="s">
        <v>30</v>
      </c>
      <c r="I221" t="s">
        <v>145</v>
      </c>
      <c r="K221" t="s">
        <v>27</v>
      </c>
      <c r="L221" t="s">
        <v>27</v>
      </c>
      <c r="M221" t="s">
        <v>27</v>
      </c>
      <c r="N221" s="7">
        <v>45931</v>
      </c>
      <c r="O221" s="6">
        <v>-472.64800000000002</v>
      </c>
      <c r="P221" t="s">
        <v>99</v>
      </c>
      <c r="Q221" t="s">
        <v>57</v>
      </c>
      <c r="R221" t="s">
        <v>30</v>
      </c>
      <c r="S221" t="s">
        <v>58</v>
      </c>
    </row>
    <row r="222" spans="1:19" x14ac:dyDescent="0.25">
      <c r="A222" t="s">
        <v>27</v>
      </c>
      <c r="B222" t="s">
        <v>27</v>
      </c>
      <c r="C222" t="s">
        <v>27</v>
      </c>
      <c r="D222" s="7">
        <v>45992</v>
      </c>
      <c r="E222" s="6">
        <v>-2500</v>
      </c>
      <c r="F222" t="s">
        <v>154</v>
      </c>
      <c r="G222" t="s">
        <v>155</v>
      </c>
      <c r="H222" t="s">
        <v>30</v>
      </c>
      <c r="I222" t="s">
        <v>145</v>
      </c>
      <c r="K222" t="s">
        <v>27</v>
      </c>
      <c r="L222" t="s">
        <v>27</v>
      </c>
      <c r="M222" t="s">
        <v>27</v>
      </c>
      <c r="N222" s="7">
        <v>45931</v>
      </c>
      <c r="O222" s="6">
        <v>-472.64800000000002</v>
      </c>
      <c r="P222" t="s">
        <v>99</v>
      </c>
      <c r="Q222" t="s">
        <v>57</v>
      </c>
      <c r="R222" t="s">
        <v>30</v>
      </c>
      <c r="S222" t="s">
        <v>58</v>
      </c>
    </row>
    <row r="223" spans="1:19" x14ac:dyDescent="0.25">
      <c r="A223" t="s">
        <v>27</v>
      </c>
      <c r="B223" t="s">
        <v>27</v>
      </c>
      <c r="C223" t="s">
        <v>27</v>
      </c>
      <c r="D223" s="7">
        <v>45658</v>
      </c>
      <c r="E223" s="6">
        <v>-3000</v>
      </c>
      <c r="F223" t="s">
        <v>156</v>
      </c>
      <c r="G223" t="s">
        <v>157</v>
      </c>
      <c r="H223" t="s">
        <v>30</v>
      </c>
      <c r="I223" t="s">
        <v>145</v>
      </c>
      <c r="K223" t="s">
        <v>27</v>
      </c>
      <c r="L223" t="s">
        <v>27</v>
      </c>
      <c r="M223" t="s">
        <v>27</v>
      </c>
      <c r="N223" s="7">
        <v>45901</v>
      </c>
      <c r="O223" s="6">
        <v>-3722.1030000000001</v>
      </c>
      <c r="P223" t="s">
        <v>100</v>
      </c>
      <c r="Q223" t="s">
        <v>57</v>
      </c>
      <c r="R223" t="s">
        <v>30</v>
      </c>
      <c r="S223" t="s">
        <v>58</v>
      </c>
    </row>
    <row r="224" spans="1:19" x14ac:dyDescent="0.25">
      <c r="A224" t="s">
        <v>27</v>
      </c>
      <c r="B224" t="s">
        <v>27</v>
      </c>
      <c r="C224" t="s">
        <v>27</v>
      </c>
      <c r="D224" s="7">
        <v>45689</v>
      </c>
      <c r="E224" s="6">
        <v>-3000</v>
      </c>
      <c r="F224" t="s">
        <v>156</v>
      </c>
      <c r="G224" t="s">
        <v>157</v>
      </c>
      <c r="H224" t="s">
        <v>30</v>
      </c>
      <c r="I224" t="s">
        <v>145</v>
      </c>
      <c r="K224" t="s">
        <v>27</v>
      </c>
      <c r="L224" t="s">
        <v>27</v>
      </c>
      <c r="M224" t="s">
        <v>27</v>
      </c>
      <c r="N224" s="7">
        <v>45931</v>
      </c>
      <c r="O224" s="6">
        <v>-3722.1030000000001</v>
      </c>
      <c r="P224" t="s">
        <v>100</v>
      </c>
      <c r="Q224" t="s">
        <v>57</v>
      </c>
      <c r="R224" t="s">
        <v>30</v>
      </c>
      <c r="S224" t="s">
        <v>58</v>
      </c>
    </row>
    <row r="225" spans="1:19" x14ac:dyDescent="0.25">
      <c r="A225" t="s">
        <v>27</v>
      </c>
      <c r="B225" t="s">
        <v>27</v>
      </c>
      <c r="C225" t="s">
        <v>27</v>
      </c>
      <c r="D225" s="7">
        <v>45717</v>
      </c>
      <c r="E225" s="6">
        <v>-3000</v>
      </c>
      <c r="F225" t="s">
        <v>156</v>
      </c>
      <c r="G225" t="s">
        <v>157</v>
      </c>
      <c r="H225" t="s">
        <v>30</v>
      </c>
      <c r="I225" t="s">
        <v>145</v>
      </c>
      <c r="K225" t="s">
        <v>27</v>
      </c>
      <c r="L225" t="s">
        <v>27</v>
      </c>
      <c r="M225" t="s">
        <v>27</v>
      </c>
      <c r="N225" s="7">
        <v>45931</v>
      </c>
      <c r="O225" s="6">
        <v>-3722.1030000000001</v>
      </c>
      <c r="P225" t="s">
        <v>100</v>
      </c>
      <c r="Q225" t="s">
        <v>57</v>
      </c>
      <c r="R225" t="s">
        <v>30</v>
      </c>
      <c r="S225" t="s">
        <v>58</v>
      </c>
    </row>
    <row r="226" spans="1:19" x14ac:dyDescent="0.25">
      <c r="A226" t="s">
        <v>27</v>
      </c>
      <c r="B226" t="s">
        <v>27</v>
      </c>
      <c r="C226" t="s">
        <v>27</v>
      </c>
      <c r="D226" s="7">
        <v>45748</v>
      </c>
      <c r="E226" s="6">
        <v>-3000</v>
      </c>
      <c r="F226" t="s">
        <v>156</v>
      </c>
      <c r="G226" t="s">
        <v>157</v>
      </c>
      <c r="H226" t="s">
        <v>30</v>
      </c>
      <c r="I226" t="s">
        <v>145</v>
      </c>
      <c r="K226" t="s">
        <v>27</v>
      </c>
      <c r="L226" t="s">
        <v>27</v>
      </c>
      <c r="M226" t="s">
        <v>27</v>
      </c>
      <c r="N226" s="7">
        <v>45931</v>
      </c>
      <c r="O226" s="6">
        <v>-3722.1030000000001</v>
      </c>
      <c r="P226" t="s">
        <v>100</v>
      </c>
      <c r="Q226" t="s">
        <v>57</v>
      </c>
      <c r="R226" t="s">
        <v>30</v>
      </c>
      <c r="S226" t="s">
        <v>58</v>
      </c>
    </row>
    <row r="227" spans="1:19" x14ac:dyDescent="0.25">
      <c r="A227" t="s">
        <v>27</v>
      </c>
      <c r="B227" t="s">
        <v>27</v>
      </c>
      <c r="C227" t="s">
        <v>27</v>
      </c>
      <c r="D227" s="7">
        <v>45778</v>
      </c>
      <c r="E227" s="6">
        <v>-3000</v>
      </c>
      <c r="F227" t="s">
        <v>156</v>
      </c>
      <c r="G227" t="s">
        <v>157</v>
      </c>
      <c r="H227" t="s">
        <v>30</v>
      </c>
      <c r="I227" t="s">
        <v>145</v>
      </c>
      <c r="K227" t="s">
        <v>27</v>
      </c>
      <c r="L227" t="s">
        <v>27</v>
      </c>
      <c r="M227" t="s">
        <v>27</v>
      </c>
      <c r="N227" s="7">
        <v>45901</v>
      </c>
      <c r="O227" s="6">
        <v>-79.893625</v>
      </c>
      <c r="P227" t="s">
        <v>101</v>
      </c>
      <c r="Q227" t="s">
        <v>57</v>
      </c>
      <c r="R227" t="s">
        <v>30</v>
      </c>
      <c r="S227" t="s">
        <v>58</v>
      </c>
    </row>
    <row r="228" spans="1:19" x14ac:dyDescent="0.25">
      <c r="A228" t="s">
        <v>27</v>
      </c>
      <c r="B228" t="s">
        <v>27</v>
      </c>
      <c r="C228" t="s">
        <v>27</v>
      </c>
      <c r="D228" s="7">
        <v>45809</v>
      </c>
      <c r="E228" s="6">
        <v>-3000</v>
      </c>
      <c r="F228" t="s">
        <v>156</v>
      </c>
      <c r="G228" t="s">
        <v>157</v>
      </c>
      <c r="H228" t="s">
        <v>30</v>
      </c>
      <c r="I228" t="s">
        <v>145</v>
      </c>
      <c r="K228" t="s">
        <v>27</v>
      </c>
      <c r="L228" t="s">
        <v>27</v>
      </c>
      <c r="M228" t="s">
        <v>27</v>
      </c>
      <c r="N228" s="7">
        <v>45931</v>
      </c>
      <c r="O228" s="6">
        <v>-79.893625</v>
      </c>
      <c r="P228" t="s">
        <v>101</v>
      </c>
      <c r="Q228" t="s">
        <v>57</v>
      </c>
      <c r="R228" t="s">
        <v>30</v>
      </c>
      <c r="S228" t="s">
        <v>58</v>
      </c>
    </row>
    <row r="229" spans="1:19" x14ac:dyDescent="0.25">
      <c r="A229" t="s">
        <v>27</v>
      </c>
      <c r="B229" t="s">
        <v>27</v>
      </c>
      <c r="C229" t="s">
        <v>27</v>
      </c>
      <c r="D229" s="7">
        <v>45839</v>
      </c>
      <c r="E229" s="6">
        <v>-3000</v>
      </c>
      <c r="F229" t="s">
        <v>156</v>
      </c>
      <c r="G229" t="s">
        <v>157</v>
      </c>
      <c r="H229" t="s">
        <v>30</v>
      </c>
      <c r="I229" t="s">
        <v>145</v>
      </c>
      <c r="K229" t="s">
        <v>27</v>
      </c>
      <c r="L229" t="s">
        <v>27</v>
      </c>
      <c r="M229" t="s">
        <v>27</v>
      </c>
      <c r="N229" s="7">
        <v>45931</v>
      </c>
      <c r="O229" s="6">
        <v>-79.893625</v>
      </c>
      <c r="P229" t="s">
        <v>101</v>
      </c>
      <c r="Q229" t="s">
        <v>57</v>
      </c>
      <c r="R229" t="s">
        <v>30</v>
      </c>
      <c r="S229" t="s">
        <v>58</v>
      </c>
    </row>
    <row r="230" spans="1:19" x14ac:dyDescent="0.25">
      <c r="A230" t="s">
        <v>27</v>
      </c>
      <c r="B230" t="s">
        <v>27</v>
      </c>
      <c r="C230" t="s">
        <v>27</v>
      </c>
      <c r="D230" s="7">
        <v>45870</v>
      </c>
      <c r="E230" s="6">
        <v>-3000</v>
      </c>
      <c r="F230" t="s">
        <v>156</v>
      </c>
      <c r="G230" t="s">
        <v>157</v>
      </c>
      <c r="H230" t="s">
        <v>30</v>
      </c>
      <c r="I230" t="s">
        <v>145</v>
      </c>
      <c r="K230" t="s">
        <v>27</v>
      </c>
      <c r="L230" t="s">
        <v>27</v>
      </c>
      <c r="M230" t="s">
        <v>27</v>
      </c>
      <c r="N230" s="7">
        <v>45931</v>
      </c>
      <c r="O230" s="6">
        <v>-79.893625</v>
      </c>
      <c r="P230" t="s">
        <v>101</v>
      </c>
      <c r="Q230" t="s">
        <v>57</v>
      </c>
      <c r="R230" t="s">
        <v>30</v>
      </c>
      <c r="S230" t="s">
        <v>58</v>
      </c>
    </row>
    <row r="231" spans="1:19" x14ac:dyDescent="0.25">
      <c r="A231" t="s">
        <v>27</v>
      </c>
      <c r="B231" t="s">
        <v>27</v>
      </c>
      <c r="C231" t="s">
        <v>27</v>
      </c>
      <c r="D231" s="7">
        <v>45901</v>
      </c>
      <c r="E231" s="6">
        <v>-3000</v>
      </c>
      <c r="F231" t="s">
        <v>156</v>
      </c>
      <c r="G231" t="s">
        <v>157</v>
      </c>
      <c r="H231" t="s">
        <v>30</v>
      </c>
      <c r="I231" t="s">
        <v>145</v>
      </c>
      <c r="K231" t="s">
        <v>27</v>
      </c>
      <c r="L231" t="s">
        <v>27</v>
      </c>
      <c r="M231" t="s">
        <v>27</v>
      </c>
      <c r="N231" s="7">
        <v>45901</v>
      </c>
      <c r="O231" s="6">
        <v>-80.565000000000012</v>
      </c>
      <c r="P231" t="s">
        <v>102</v>
      </c>
      <c r="Q231" t="s">
        <v>57</v>
      </c>
      <c r="R231" t="s">
        <v>30</v>
      </c>
      <c r="S231" t="s">
        <v>58</v>
      </c>
    </row>
    <row r="232" spans="1:19" x14ac:dyDescent="0.25">
      <c r="A232" t="s">
        <v>27</v>
      </c>
      <c r="B232" t="s">
        <v>27</v>
      </c>
      <c r="C232" t="s">
        <v>27</v>
      </c>
      <c r="D232" s="7">
        <v>45931</v>
      </c>
      <c r="E232" s="6">
        <v>-3000</v>
      </c>
      <c r="F232" t="s">
        <v>156</v>
      </c>
      <c r="G232" t="s">
        <v>157</v>
      </c>
      <c r="H232" t="s">
        <v>30</v>
      </c>
      <c r="I232" t="s">
        <v>145</v>
      </c>
      <c r="K232" t="s">
        <v>27</v>
      </c>
      <c r="L232" t="s">
        <v>27</v>
      </c>
      <c r="M232" t="s">
        <v>27</v>
      </c>
      <c r="N232" s="7">
        <v>45931</v>
      </c>
      <c r="O232" s="6">
        <v>-80.565000000000012</v>
      </c>
      <c r="P232" t="s">
        <v>102</v>
      </c>
      <c r="Q232" t="s">
        <v>57</v>
      </c>
      <c r="R232" t="s">
        <v>30</v>
      </c>
      <c r="S232" t="s">
        <v>58</v>
      </c>
    </row>
    <row r="233" spans="1:19" x14ac:dyDescent="0.25">
      <c r="A233" t="s">
        <v>27</v>
      </c>
      <c r="B233" t="s">
        <v>27</v>
      </c>
      <c r="C233" t="s">
        <v>27</v>
      </c>
      <c r="D233" s="7">
        <v>45962</v>
      </c>
      <c r="E233" s="6">
        <v>-3000</v>
      </c>
      <c r="F233" t="s">
        <v>156</v>
      </c>
      <c r="G233" t="s">
        <v>157</v>
      </c>
      <c r="H233" t="s">
        <v>30</v>
      </c>
      <c r="I233" t="s">
        <v>145</v>
      </c>
      <c r="K233" t="s">
        <v>27</v>
      </c>
      <c r="L233" t="s">
        <v>27</v>
      </c>
      <c r="M233" t="s">
        <v>27</v>
      </c>
      <c r="N233" s="7">
        <v>45931</v>
      </c>
      <c r="O233" s="6">
        <v>-80.565000000000012</v>
      </c>
      <c r="P233" t="s">
        <v>102</v>
      </c>
      <c r="Q233" t="s">
        <v>57</v>
      </c>
      <c r="R233" t="s">
        <v>30</v>
      </c>
      <c r="S233" t="s">
        <v>58</v>
      </c>
    </row>
    <row r="234" spans="1:19" x14ac:dyDescent="0.25">
      <c r="A234" t="s">
        <v>27</v>
      </c>
      <c r="B234" t="s">
        <v>27</v>
      </c>
      <c r="C234" t="s">
        <v>27</v>
      </c>
      <c r="D234" s="7">
        <v>45992</v>
      </c>
      <c r="E234" s="6">
        <v>-3000</v>
      </c>
      <c r="F234" t="s">
        <v>156</v>
      </c>
      <c r="G234" t="s">
        <v>157</v>
      </c>
      <c r="H234" t="s">
        <v>30</v>
      </c>
      <c r="I234" t="s">
        <v>145</v>
      </c>
      <c r="K234" t="s">
        <v>27</v>
      </c>
      <c r="L234" t="s">
        <v>27</v>
      </c>
      <c r="M234" t="s">
        <v>27</v>
      </c>
      <c r="N234" s="7">
        <v>45931</v>
      </c>
      <c r="O234" s="6">
        <v>-80.565000000000012</v>
      </c>
      <c r="P234" t="s">
        <v>102</v>
      </c>
      <c r="Q234" t="s">
        <v>57</v>
      </c>
      <c r="R234" t="s">
        <v>30</v>
      </c>
      <c r="S234" t="s">
        <v>58</v>
      </c>
    </row>
    <row r="235" spans="1:19" x14ac:dyDescent="0.25">
      <c r="A235" t="s">
        <v>27</v>
      </c>
      <c r="B235" t="s">
        <v>27</v>
      </c>
      <c r="C235" t="s">
        <v>27</v>
      </c>
      <c r="D235" s="7">
        <v>45658</v>
      </c>
      <c r="E235" s="6">
        <v>-2200</v>
      </c>
      <c r="F235" t="s">
        <v>158</v>
      </c>
      <c r="G235" t="s">
        <v>159</v>
      </c>
      <c r="H235" t="s">
        <v>30</v>
      </c>
      <c r="I235" t="s">
        <v>145</v>
      </c>
      <c r="K235" t="s">
        <v>27</v>
      </c>
      <c r="L235" t="s">
        <v>27</v>
      </c>
      <c r="M235" t="s">
        <v>27</v>
      </c>
      <c r="N235" s="7">
        <v>45931</v>
      </c>
      <c r="O235" s="6">
        <v>-6630.902325</v>
      </c>
      <c r="P235" t="s">
        <v>103</v>
      </c>
      <c r="Q235" t="s">
        <v>57</v>
      </c>
      <c r="R235" t="s">
        <v>30</v>
      </c>
      <c r="S235" t="s">
        <v>58</v>
      </c>
    </row>
    <row r="236" spans="1:19" x14ac:dyDescent="0.25">
      <c r="A236" t="s">
        <v>27</v>
      </c>
      <c r="B236" t="s">
        <v>27</v>
      </c>
      <c r="C236" t="s">
        <v>27</v>
      </c>
      <c r="D236" s="7">
        <v>45689</v>
      </c>
      <c r="E236" s="6">
        <v>-2200</v>
      </c>
      <c r="F236" t="s">
        <v>158</v>
      </c>
      <c r="G236" t="s">
        <v>159</v>
      </c>
      <c r="H236" t="s">
        <v>30</v>
      </c>
      <c r="I236" t="s">
        <v>145</v>
      </c>
      <c r="K236" t="s">
        <v>27</v>
      </c>
      <c r="L236" t="s">
        <v>27</v>
      </c>
      <c r="M236" t="s">
        <v>27</v>
      </c>
      <c r="N236" s="7">
        <v>45931</v>
      </c>
      <c r="O236" s="6">
        <v>-6630.902325</v>
      </c>
      <c r="P236" t="s">
        <v>103</v>
      </c>
      <c r="Q236" t="s">
        <v>57</v>
      </c>
      <c r="R236" t="s">
        <v>30</v>
      </c>
      <c r="S236" t="s">
        <v>58</v>
      </c>
    </row>
    <row r="237" spans="1:19" x14ac:dyDescent="0.25">
      <c r="A237" t="s">
        <v>27</v>
      </c>
      <c r="B237" t="s">
        <v>27</v>
      </c>
      <c r="C237" t="s">
        <v>27</v>
      </c>
      <c r="D237" s="7">
        <v>45717</v>
      </c>
      <c r="E237" s="6">
        <v>-2200</v>
      </c>
      <c r="F237" t="s">
        <v>158</v>
      </c>
      <c r="G237" t="s">
        <v>159</v>
      </c>
      <c r="H237" t="s">
        <v>30</v>
      </c>
      <c r="I237" t="s">
        <v>145</v>
      </c>
      <c r="K237" t="s">
        <v>27</v>
      </c>
      <c r="L237" t="s">
        <v>27</v>
      </c>
      <c r="M237" t="s">
        <v>27</v>
      </c>
      <c r="N237" s="7">
        <v>45962</v>
      </c>
      <c r="O237" s="6">
        <v>-6630.902325</v>
      </c>
      <c r="P237" t="s">
        <v>103</v>
      </c>
      <c r="Q237" t="s">
        <v>57</v>
      </c>
      <c r="R237" t="s">
        <v>30</v>
      </c>
      <c r="S237" t="s">
        <v>58</v>
      </c>
    </row>
    <row r="238" spans="1:19" x14ac:dyDescent="0.25">
      <c r="A238" t="s">
        <v>27</v>
      </c>
      <c r="B238" t="s">
        <v>27</v>
      </c>
      <c r="C238" t="s">
        <v>27</v>
      </c>
      <c r="D238" s="7">
        <v>45748</v>
      </c>
      <c r="E238" s="6">
        <v>-2200</v>
      </c>
      <c r="F238" t="s">
        <v>158</v>
      </c>
      <c r="G238" t="s">
        <v>159</v>
      </c>
      <c r="H238" t="s">
        <v>30</v>
      </c>
      <c r="I238" t="s">
        <v>145</v>
      </c>
      <c r="K238" t="s">
        <v>27</v>
      </c>
      <c r="L238" t="s">
        <v>27</v>
      </c>
      <c r="M238" t="s">
        <v>27</v>
      </c>
      <c r="N238" s="7">
        <v>45962</v>
      </c>
      <c r="O238" s="6">
        <v>-6630.902325</v>
      </c>
      <c r="P238" t="s">
        <v>103</v>
      </c>
      <c r="Q238" t="s">
        <v>57</v>
      </c>
      <c r="R238" t="s">
        <v>30</v>
      </c>
      <c r="S238" t="s">
        <v>58</v>
      </c>
    </row>
    <row r="239" spans="1:19" x14ac:dyDescent="0.25">
      <c r="A239" t="s">
        <v>27</v>
      </c>
      <c r="B239" t="s">
        <v>27</v>
      </c>
      <c r="C239" t="s">
        <v>27</v>
      </c>
      <c r="D239" s="7">
        <v>45778</v>
      </c>
      <c r="E239" s="6">
        <v>-2200</v>
      </c>
      <c r="F239" t="s">
        <v>158</v>
      </c>
      <c r="G239" t="s">
        <v>159</v>
      </c>
      <c r="H239" t="s">
        <v>30</v>
      </c>
      <c r="I239" t="s">
        <v>145</v>
      </c>
      <c r="K239" t="s">
        <v>27</v>
      </c>
      <c r="L239" t="s">
        <v>27</v>
      </c>
      <c r="M239" t="s">
        <v>27</v>
      </c>
      <c r="N239" s="7">
        <v>45931</v>
      </c>
      <c r="O239" s="6">
        <v>-445.79300000000006</v>
      </c>
      <c r="P239" t="s">
        <v>104</v>
      </c>
      <c r="Q239" t="s">
        <v>57</v>
      </c>
      <c r="R239" t="s">
        <v>30</v>
      </c>
      <c r="S239" t="s">
        <v>58</v>
      </c>
    </row>
    <row r="240" spans="1:19" x14ac:dyDescent="0.25">
      <c r="A240" t="s">
        <v>27</v>
      </c>
      <c r="B240" t="s">
        <v>27</v>
      </c>
      <c r="C240" t="s">
        <v>27</v>
      </c>
      <c r="D240" s="7">
        <v>45809</v>
      </c>
      <c r="E240" s="6">
        <v>-2200</v>
      </c>
      <c r="F240" t="s">
        <v>158</v>
      </c>
      <c r="G240" t="s">
        <v>159</v>
      </c>
      <c r="H240" t="s">
        <v>30</v>
      </c>
      <c r="I240" t="s">
        <v>145</v>
      </c>
      <c r="K240" t="s">
        <v>27</v>
      </c>
      <c r="L240" t="s">
        <v>27</v>
      </c>
      <c r="M240" t="s">
        <v>27</v>
      </c>
      <c r="N240" s="7">
        <v>45931</v>
      </c>
      <c r="O240" s="6">
        <v>-445.79300000000006</v>
      </c>
      <c r="P240" t="s">
        <v>104</v>
      </c>
      <c r="Q240" t="s">
        <v>57</v>
      </c>
      <c r="R240" t="s">
        <v>30</v>
      </c>
      <c r="S240" t="s">
        <v>58</v>
      </c>
    </row>
    <row r="241" spans="1:19" x14ac:dyDescent="0.25">
      <c r="A241" t="s">
        <v>27</v>
      </c>
      <c r="B241" t="s">
        <v>27</v>
      </c>
      <c r="C241" t="s">
        <v>27</v>
      </c>
      <c r="D241" s="7">
        <v>45839</v>
      </c>
      <c r="E241" s="6">
        <v>-2200</v>
      </c>
      <c r="F241" t="s">
        <v>158</v>
      </c>
      <c r="G241" t="s">
        <v>159</v>
      </c>
      <c r="H241" t="s">
        <v>30</v>
      </c>
      <c r="I241" t="s">
        <v>145</v>
      </c>
      <c r="K241" t="s">
        <v>27</v>
      </c>
      <c r="L241" t="s">
        <v>27</v>
      </c>
      <c r="M241" t="s">
        <v>27</v>
      </c>
      <c r="N241" s="7">
        <v>45962</v>
      </c>
      <c r="O241" s="6">
        <v>-445.79300000000006</v>
      </c>
      <c r="P241" t="s">
        <v>104</v>
      </c>
      <c r="Q241" t="s">
        <v>57</v>
      </c>
      <c r="R241" t="s">
        <v>30</v>
      </c>
      <c r="S241" t="s">
        <v>58</v>
      </c>
    </row>
    <row r="242" spans="1:19" x14ac:dyDescent="0.25">
      <c r="A242" t="s">
        <v>27</v>
      </c>
      <c r="B242" t="s">
        <v>27</v>
      </c>
      <c r="C242" t="s">
        <v>27</v>
      </c>
      <c r="D242" s="7">
        <v>45870</v>
      </c>
      <c r="E242" s="6">
        <v>-2200</v>
      </c>
      <c r="F242" t="s">
        <v>158</v>
      </c>
      <c r="G242" t="s">
        <v>159</v>
      </c>
      <c r="H242" t="s">
        <v>30</v>
      </c>
      <c r="I242" t="s">
        <v>145</v>
      </c>
      <c r="K242" t="s">
        <v>27</v>
      </c>
      <c r="L242" t="s">
        <v>27</v>
      </c>
      <c r="M242" t="s">
        <v>27</v>
      </c>
      <c r="N242" s="7">
        <v>45962</v>
      </c>
      <c r="O242" s="6">
        <v>-445.79300000000006</v>
      </c>
      <c r="P242" t="s">
        <v>104</v>
      </c>
      <c r="Q242" t="s">
        <v>57</v>
      </c>
      <c r="R242" t="s">
        <v>30</v>
      </c>
      <c r="S242" t="s">
        <v>58</v>
      </c>
    </row>
    <row r="243" spans="1:19" x14ac:dyDescent="0.25">
      <c r="A243" t="s">
        <v>27</v>
      </c>
      <c r="B243" t="s">
        <v>27</v>
      </c>
      <c r="C243" t="s">
        <v>27</v>
      </c>
      <c r="D243" s="7">
        <v>45901</v>
      </c>
      <c r="E243" s="6">
        <v>-2200</v>
      </c>
      <c r="F243" t="s">
        <v>158</v>
      </c>
      <c r="G243" t="s">
        <v>159</v>
      </c>
      <c r="H243" t="s">
        <v>30</v>
      </c>
      <c r="I243" t="s">
        <v>145</v>
      </c>
      <c r="K243" t="s">
        <v>27</v>
      </c>
      <c r="L243" t="s">
        <v>27</v>
      </c>
      <c r="M243" t="s">
        <v>27</v>
      </c>
      <c r="N243" s="7">
        <v>45931</v>
      </c>
      <c r="O243" s="6">
        <v>-3496.5209999999997</v>
      </c>
      <c r="P243" t="s">
        <v>105</v>
      </c>
      <c r="Q243" t="s">
        <v>57</v>
      </c>
      <c r="R243" t="s">
        <v>30</v>
      </c>
      <c r="S243" t="s">
        <v>58</v>
      </c>
    </row>
    <row r="244" spans="1:19" x14ac:dyDescent="0.25">
      <c r="A244" t="s">
        <v>27</v>
      </c>
      <c r="B244" t="s">
        <v>27</v>
      </c>
      <c r="C244" t="s">
        <v>27</v>
      </c>
      <c r="D244" s="7">
        <v>45931</v>
      </c>
      <c r="E244" s="6">
        <v>-2200</v>
      </c>
      <c r="F244" t="s">
        <v>158</v>
      </c>
      <c r="G244" t="s">
        <v>159</v>
      </c>
      <c r="H244" t="s">
        <v>30</v>
      </c>
      <c r="I244" t="s">
        <v>145</v>
      </c>
      <c r="K244" t="s">
        <v>27</v>
      </c>
      <c r="L244" t="s">
        <v>27</v>
      </c>
      <c r="M244" t="s">
        <v>27</v>
      </c>
      <c r="N244" s="7">
        <v>45931</v>
      </c>
      <c r="O244" s="6">
        <v>-3496.5209999999997</v>
      </c>
      <c r="P244" t="s">
        <v>105</v>
      </c>
      <c r="Q244" t="s">
        <v>57</v>
      </c>
      <c r="R244" t="s">
        <v>30</v>
      </c>
      <c r="S244" t="s">
        <v>58</v>
      </c>
    </row>
    <row r="245" spans="1:19" x14ac:dyDescent="0.25">
      <c r="A245" t="s">
        <v>27</v>
      </c>
      <c r="B245" t="s">
        <v>27</v>
      </c>
      <c r="C245" t="s">
        <v>27</v>
      </c>
      <c r="D245" s="7">
        <v>45962</v>
      </c>
      <c r="E245" s="6">
        <v>-2200</v>
      </c>
      <c r="F245" t="s">
        <v>158</v>
      </c>
      <c r="G245" t="s">
        <v>159</v>
      </c>
      <c r="H245" t="s">
        <v>30</v>
      </c>
      <c r="I245" t="s">
        <v>145</v>
      </c>
      <c r="K245" t="s">
        <v>27</v>
      </c>
      <c r="L245" t="s">
        <v>27</v>
      </c>
      <c r="M245" t="s">
        <v>27</v>
      </c>
      <c r="N245" s="7">
        <v>45962</v>
      </c>
      <c r="O245" s="6">
        <v>-3496.5209999999997</v>
      </c>
      <c r="P245" t="s">
        <v>105</v>
      </c>
      <c r="Q245" t="s">
        <v>57</v>
      </c>
      <c r="R245" t="s">
        <v>30</v>
      </c>
      <c r="S245" t="s">
        <v>58</v>
      </c>
    </row>
    <row r="246" spans="1:19" x14ac:dyDescent="0.25">
      <c r="A246" t="s">
        <v>27</v>
      </c>
      <c r="B246" t="s">
        <v>27</v>
      </c>
      <c r="C246" t="s">
        <v>27</v>
      </c>
      <c r="D246" s="7">
        <v>45992</v>
      </c>
      <c r="E246" s="6">
        <v>-2200</v>
      </c>
      <c r="F246" t="s">
        <v>158</v>
      </c>
      <c r="G246" t="s">
        <v>159</v>
      </c>
      <c r="H246" t="s">
        <v>30</v>
      </c>
      <c r="I246" t="s">
        <v>145</v>
      </c>
      <c r="K246" t="s">
        <v>27</v>
      </c>
      <c r="L246" t="s">
        <v>27</v>
      </c>
      <c r="M246" t="s">
        <v>27</v>
      </c>
      <c r="N246" s="7">
        <v>45962</v>
      </c>
      <c r="O246" s="6">
        <v>-3496.5209999999997</v>
      </c>
      <c r="P246" t="s">
        <v>105</v>
      </c>
      <c r="Q246" t="s">
        <v>57</v>
      </c>
      <c r="R246" t="s">
        <v>30</v>
      </c>
      <c r="S246" t="s">
        <v>58</v>
      </c>
    </row>
    <row r="247" spans="1:19" x14ac:dyDescent="0.25">
      <c r="A247" t="s">
        <v>27</v>
      </c>
      <c r="B247" t="s">
        <v>27</v>
      </c>
      <c r="C247" t="s">
        <v>27</v>
      </c>
      <c r="D247" s="7">
        <v>45658</v>
      </c>
      <c r="E247" s="6">
        <v>-1000</v>
      </c>
      <c r="F247" t="s">
        <v>160</v>
      </c>
      <c r="G247" t="s">
        <v>161</v>
      </c>
      <c r="H247" t="s">
        <v>30</v>
      </c>
      <c r="I247" t="s">
        <v>145</v>
      </c>
      <c r="K247" t="s">
        <v>27</v>
      </c>
      <c r="L247" t="s">
        <v>27</v>
      </c>
      <c r="M247" t="s">
        <v>27</v>
      </c>
      <c r="N247" s="7">
        <v>45931</v>
      </c>
      <c r="O247" s="6">
        <v>-75.194000000000003</v>
      </c>
      <c r="P247" t="s">
        <v>106</v>
      </c>
      <c r="Q247" t="s">
        <v>57</v>
      </c>
      <c r="R247" t="s">
        <v>30</v>
      </c>
      <c r="S247" t="s">
        <v>58</v>
      </c>
    </row>
    <row r="248" spans="1:19" x14ac:dyDescent="0.25">
      <c r="A248" t="s">
        <v>27</v>
      </c>
      <c r="B248" t="s">
        <v>27</v>
      </c>
      <c r="C248" t="s">
        <v>27</v>
      </c>
      <c r="D248" s="7">
        <v>45689</v>
      </c>
      <c r="E248" s="6">
        <v>-1000</v>
      </c>
      <c r="F248" t="s">
        <v>160</v>
      </c>
      <c r="G248" t="s">
        <v>161</v>
      </c>
      <c r="H248" t="s">
        <v>30</v>
      </c>
      <c r="I248" t="s">
        <v>145</v>
      </c>
      <c r="K248" t="s">
        <v>27</v>
      </c>
      <c r="L248" t="s">
        <v>27</v>
      </c>
      <c r="M248" t="s">
        <v>27</v>
      </c>
      <c r="N248" s="7">
        <v>45931</v>
      </c>
      <c r="O248" s="6">
        <v>-75.194000000000003</v>
      </c>
      <c r="P248" t="s">
        <v>106</v>
      </c>
      <c r="Q248" t="s">
        <v>57</v>
      </c>
      <c r="R248" t="s">
        <v>30</v>
      </c>
      <c r="S248" t="s">
        <v>58</v>
      </c>
    </row>
    <row r="249" spans="1:19" x14ac:dyDescent="0.25">
      <c r="A249" t="s">
        <v>27</v>
      </c>
      <c r="B249" t="s">
        <v>27</v>
      </c>
      <c r="C249" t="s">
        <v>27</v>
      </c>
      <c r="D249" s="7">
        <v>45717</v>
      </c>
      <c r="E249" s="6">
        <v>-1000</v>
      </c>
      <c r="F249" t="s">
        <v>160</v>
      </c>
      <c r="G249" t="s">
        <v>161</v>
      </c>
      <c r="H249" t="s">
        <v>30</v>
      </c>
      <c r="I249" t="s">
        <v>145</v>
      </c>
      <c r="K249" t="s">
        <v>27</v>
      </c>
      <c r="L249" t="s">
        <v>27</v>
      </c>
      <c r="M249" t="s">
        <v>27</v>
      </c>
      <c r="N249" s="7">
        <v>45962</v>
      </c>
      <c r="O249" s="6">
        <v>-75.194000000000003</v>
      </c>
      <c r="P249" t="s">
        <v>106</v>
      </c>
      <c r="Q249" t="s">
        <v>57</v>
      </c>
      <c r="R249" t="s">
        <v>30</v>
      </c>
      <c r="S249" t="s">
        <v>58</v>
      </c>
    </row>
    <row r="250" spans="1:19" x14ac:dyDescent="0.25">
      <c r="A250" t="s">
        <v>27</v>
      </c>
      <c r="B250" t="s">
        <v>27</v>
      </c>
      <c r="C250" t="s">
        <v>27</v>
      </c>
      <c r="D250" s="7">
        <v>45748</v>
      </c>
      <c r="E250" s="6">
        <v>-1000</v>
      </c>
      <c r="F250" t="s">
        <v>160</v>
      </c>
      <c r="G250" t="s">
        <v>161</v>
      </c>
      <c r="H250" t="s">
        <v>30</v>
      </c>
      <c r="I250" t="s">
        <v>145</v>
      </c>
      <c r="K250" t="s">
        <v>27</v>
      </c>
      <c r="L250" t="s">
        <v>27</v>
      </c>
      <c r="M250" t="s">
        <v>27</v>
      </c>
      <c r="N250" s="7">
        <v>45962</v>
      </c>
      <c r="O250" s="6">
        <v>-75.194000000000003</v>
      </c>
      <c r="P250" t="s">
        <v>106</v>
      </c>
      <c r="Q250" t="s">
        <v>57</v>
      </c>
      <c r="R250" t="s">
        <v>30</v>
      </c>
      <c r="S250" t="s">
        <v>58</v>
      </c>
    </row>
    <row r="251" spans="1:19" x14ac:dyDescent="0.25">
      <c r="A251" t="s">
        <v>27</v>
      </c>
      <c r="B251" t="s">
        <v>27</v>
      </c>
      <c r="C251" t="s">
        <v>27</v>
      </c>
      <c r="D251" s="7">
        <v>45778</v>
      </c>
      <c r="E251" s="6">
        <v>-1000</v>
      </c>
      <c r="F251" t="s">
        <v>160</v>
      </c>
      <c r="G251" t="s">
        <v>161</v>
      </c>
      <c r="H251" t="s">
        <v>30</v>
      </c>
      <c r="I251" t="s">
        <v>145</v>
      </c>
      <c r="K251" t="s">
        <v>27</v>
      </c>
      <c r="L251" t="s">
        <v>27</v>
      </c>
      <c r="M251" t="s">
        <v>27</v>
      </c>
      <c r="N251" s="7">
        <v>45931</v>
      </c>
      <c r="O251" s="6">
        <v>-75.194000000000003</v>
      </c>
      <c r="P251" t="s">
        <v>107</v>
      </c>
      <c r="Q251" t="s">
        <v>57</v>
      </c>
      <c r="R251" t="s">
        <v>30</v>
      </c>
      <c r="S251" t="s">
        <v>58</v>
      </c>
    </row>
    <row r="252" spans="1:19" x14ac:dyDescent="0.25">
      <c r="A252" t="s">
        <v>27</v>
      </c>
      <c r="B252" t="s">
        <v>27</v>
      </c>
      <c r="C252" t="s">
        <v>27</v>
      </c>
      <c r="D252" s="7">
        <v>45809</v>
      </c>
      <c r="E252" s="6">
        <v>-1000</v>
      </c>
      <c r="F252" t="s">
        <v>160</v>
      </c>
      <c r="G252" t="s">
        <v>161</v>
      </c>
      <c r="H252" t="s">
        <v>30</v>
      </c>
      <c r="I252" t="s">
        <v>145</v>
      </c>
      <c r="K252" t="s">
        <v>27</v>
      </c>
      <c r="L252" t="s">
        <v>27</v>
      </c>
      <c r="M252" t="s">
        <v>27</v>
      </c>
      <c r="N252" s="7">
        <v>45931</v>
      </c>
      <c r="O252" s="6">
        <v>-75.194000000000003</v>
      </c>
      <c r="P252" t="s">
        <v>107</v>
      </c>
      <c r="Q252" t="s">
        <v>57</v>
      </c>
      <c r="R252" t="s">
        <v>30</v>
      </c>
      <c r="S252" t="s">
        <v>58</v>
      </c>
    </row>
    <row r="253" spans="1:19" x14ac:dyDescent="0.25">
      <c r="A253" t="s">
        <v>27</v>
      </c>
      <c r="B253" t="s">
        <v>27</v>
      </c>
      <c r="C253" t="s">
        <v>27</v>
      </c>
      <c r="D253" s="7">
        <v>45839</v>
      </c>
      <c r="E253" s="6">
        <v>-1000</v>
      </c>
      <c r="F253" t="s">
        <v>160</v>
      </c>
      <c r="G253" t="s">
        <v>161</v>
      </c>
      <c r="H253" t="s">
        <v>30</v>
      </c>
      <c r="I253" t="s">
        <v>145</v>
      </c>
      <c r="K253" t="s">
        <v>27</v>
      </c>
      <c r="L253" t="s">
        <v>27</v>
      </c>
      <c r="M253" t="s">
        <v>27</v>
      </c>
      <c r="N253" s="7">
        <v>45962</v>
      </c>
      <c r="O253" s="6">
        <v>-75.194000000000003</v>
      </c>
      <c r="P253" t="s">
        <v>107</v>
      </c>
      <c r="Q253" t="s">
        <v>57</v>
      </c>
      <c r="R253" t="s">
        <v>30</v>
      </c>
      <c r="S253" t="s">
        <v>58</v>
      </c>
    </row>
    <row r="254" spans="1:19" x14ac:dyDescent="0.25">
      <c r="A254" t="s">
        <v>27</v>
      </c>
      <c r="B254" t="s">
        <v>27</v>
      </c>
      <c r="C254" t="s">
        <v>27</v>
      </c>
      <c r="D254" s="7">
        <v>45870</v>
      </c>
      <c r="E254" s="6">
        <v>-1000</v>
      </c>
      <c r="F254" t="s">
        <v>160</v>
      </c>
      <c r="G254" t="s">
        <v>161</v>
      </c>
      <c r="H254" t="s">
        <v>30</v>
      </c>
      <c r="I254" t="s">
        <v>145</v>
      </c>
      <c r="K254" t="s">
        <v>27</v>
      </c>
      <c r="L254" t="s">
        <v>27</v>
      </c>
      <c r="M254" t="s">
        <v>27</v>
      </c>
      <c r="N254" s="7">
        <v>45962</v>
      </c>
      <c r="O254" s="6">
        <v>-75.194000000000003</v>
      </c>
      <c r="P254" t="s">
        <v>107</v>
      </c>
      <c r="Q254" t="s">
        <v>57</v>
      </c>
      <c r="R254" t="s">
        <v>30</v>
      </c>
      <c r="S254" t="s">
        <v>58</v>
      </c>
    </row>
    <row r="255" spans="1:19" x14ac:dyDescent="0.25">
      <c r="A255" t="s">
        <v>27</v>
      </c>
      <c r="B255" t="s">
        <v>27</v>
      </c>
      <c r="C255" t="s">
        <v>27</v>
      </c>
      <c r="D255" s="7">
        <v>45901</v>
      </c>
      <c r="E255" s="6">
        <v>-1000</v>
      </c>
      <c r="F255" t="s">
        <v>160</v>
      </c>
      <c r="G255" t="s">
        <v>161</v>
      </c>
      <c r="H255" t="s">
        <v>30</v>
      </c>
      <c r="I255" t="s">
        <v>145</v>
      </c>
      <c r="K255" t="s">
        <v>27</v>
      </c>
      <c r="L255" t="s">
        <v>27</v>
      </c>
      <c r="M255" t="s">
        <v>27</v>
      </c>
      <c r="N255" s="7">
        <v>45962</v>
      </c>
      <c r="O255" s="6">
        <v>-8128.2028499999997</v>
      </c>
      <c r="P255" t="s">
        <v>108</v>
      </c>
      <c r="Q255" t="s">
        <v>57</v>
      </c>
      <c r="R255" t="s">
        <v>30</v>
      </c>
      <c r="S255" t="s">
        <v>58</v>
      </c>
    </row>
    <row r="256" spans="1:19" x14ac:dyDescent="0.25">
      <c r="A256" t="s">
        <v>27</v>
      </c>
      <c r="B256" t="s">
        <v>27</v>
      </c>
      <c r="C256" t="s">
        <v>27</v>
      </c>
      <c r="D256" s="7">
        <v>45931</v>
      </c>
      <c r="E256" s="6">
        <v>-1000</v>
      </c>
      <c r="F256" t="s">
        <v>160</v>
      </c>
      <c r="G256" t="s">
        <v>161</v>
      </c>
      <c r="H256" t="s">
        <v>30</v>
      </c>
      <c r="I256" t="s">
        <v>145</v>
      </c>
      <c r="K256" t="s">
        <v>27</v>
      </c>
      <c r="L256" t="s">
        <v>27</v>
      </c>
      <c r="M256" t="s">
        <v>27</v>
      </c>
      <c r="N256" s="7">
        <v>45992</v>
      </c>
      <c r="O256" s="6">
        <v>-8128.2028499999997</v>
      </c>
      <c r="P256" t="s">
        <v>108</v>
      </c>
      <c r="Q256" t="s">
        <v>57</v>
      </c>
      <c r="R256" t="s">
        <v>30</v>
      </c>
      <c r="S256" t="s">
        <v>58</v>
      </c>
    </row>
    <row r="257" spans="1:19" x14ac:dyDescent="0.25">
      <c r="A257" t="s">
        <v>27</v>
      </c>
      <c r="B257" t="s">
        <v>27</v>
      </c>
      <c r="C257" t="s">
        <v>27</v>
      </c>
      <c r="D257" s="7">
        <v>45962</v>
      </c>
      <c r="E257" s="6">
        <v>-1000</v>
      </c>
      <c r="F257" t="s">
        <v>160</v>
      </c>
      <c r="G257" t="s">
        <v>161</v>
      </c>
      <c r="H257" t="s">
        <v>30</v>
      </c>
      <c r="I257" t="s">
        <v>145</v>
      </c>
      <c r="K257" t="s">
        <v>27</v>
      </c>
      <c r="L257" t="s">
        <v>27</v>
      </c>
      <c r="M257" t="s">
        <v>27</v>
      </c>
      <c r="N257" s="7">
        <v>45992</v>
      </c>
      <c r="O257" s="6">
        <v>-8128.2028499999997</v>
      </c>
      <c r="P257" t="s">
        <v>108</v>
      </c>
      <c r="Q257" t="s">
        <v>57</v>
      </c>
      <c r="R257" t="s">
        <v>30</v>
      </c>
      <c r="S257" t="s">
        <v>58</v>
      </c>
    </row>
    <row r="258" spans="1:19" x14ac:dyDescent="0.25">
      <c r="A258" t="s">
        <v>27</v>
      </c>
      <c r="B258" t="s">
        <v>27</v>
      </c>
      <c r="C258" t="s">
        <v>27</v>
      </c>
      <c r="D258" s="7">
        <v>45992</v>
      </c>
      <c r="E258" s="6">
        <v>-1000</v>
      </c>
      <c r="F258" t="s">
        <v>160</v>
      </c>
      <c r="G258" t="s">
        <v>161</v>
      </c>
      <c r="H258" t="s">
        <v>30</v>
      </c>
      <c r="I258" t="s">
        <v>145</v>
      </c>
      <c r="K258" t="s">
        <v>27</v>
      </c>
      <c r="L258" t="s">
        <v>27</v>
      </c>
      <c r="M258" t="s">
        <v>27</v>
      </c>
      <c r="N258" s="7">
        <v>45992</v>
      </c>
      <c r="O258" s="6">
        <v>-8128.2028499999997</v>
      </c>
      <c r="P258" t="s">
        <v>108</v>
      </c>
      <c r="Q258" t="s">
        <v>57</v>
      </c>
      <c r="R258" t="s">
        <v>30</v>
      </c>
      <c r="S258" t="s">
        <v>58</v>
      </c>
    </row>
    <row r="259" spans="1:19" x14ac:dyDescent="0.25">
      <c r="A259" t="s">
        <v>27</v>
      </c>
      <c r="B259" t="s">
        <v>27</v>
      </c>
      <c r="C259" t="s">
        <v>27</v>
      </c>
      <c r="D259" s="7">
        <v>45658</v>
      </c>
      <c r="E259" s="6">
        <v>-700</v>
      </c>
      <c r="F259" t="s">
        <v>162</v>
      </c>
      <c r="G259" t="s">
        <v>163</v>
      </c>
      <c r="H259" t="s">
        <v>30</v>
      </c>
      <c r="I259" t="s">
        <v>145</v>
      </c>
      <c r="K259" t="s">
        <v>27</v>
      </c>
      <c r="L259" t="s">
        <v>27</v>
      </c>
      <c r="M259" t="s">
        <v>27</v>
      </c>
      <c r="N259" s="7">
        <v>45962</v>
      </c>
      <c r="O259" s="6">
        <v>-545.15650000000005</v>
      </c>
      <c r="P259" t="s">
        <v>109</v>
      </c>
      <c r="Q259" t="s">
        <v>57</v>
      </c>
      <c r="R259" t="s">
        <v>30</v>
      </c>
      <c r="S259" t="s">
        <v>58</v>
      </c>
    </row>
    <row r="260" spans="1:19" x14ac:dyDescent="0.25">
      <c r="A260" t="s">
        <v>27</v>
      </c>
      <c r="B260" t="s">
        <v>27</v>
      </c>
      <c r="C260" t="s">
        <v>27</v>
      </c>
      <c r="D260" s="7">
        <v>45689</v>
      </c>
      <c r="E260" s="6">
        <v>-700</v>
      </c>
      <c r="F260" t="s">
        <v>162</v>
      </c>
      <c r="G260" t="s">
        <v>163</v>
      </c>
      <c r="H260" t="s">
        <v>30</v>
      </c>
      <c r="I260" t="s">
        <v>145</v>
      </c>
      <c r="K260" t="s">
        <v>27</v>
      </c>
      <c r="L260" t="s">
        <v>27</v>
      </c>
      <c r="M260" t="s">
        <v>27</v>
      </c>
      <c r="N260" s="7">
        <v>45992</v>
      </c>
      <c r="O260" s="6">
        <v>-545.15650000000005</v>
      </c>
      <c r="P260" t="s">
        <v>109</v>
      </c>
      <c r="Q260" t="s">
        <v>57</v>
      </c>
      <c r="R260" t="s">
        <v>30</v>
      </c>
      <c r="S260" t="s">
        <v>58</v>
      </c>
    </row>
    <row r="261" spans="1:19" x14ac:dyDescent="0.25">
      <c r="A261" t="s">
        <v>27</v>
      </c>
      <c r="B261" t="s">
        <v>27</v>
      </c>
      <c r="C261" t="s">
        <v>27</v>
      </c>
      <c r="D261" s="7">
        <v>45717</v>
      </c>
      <c r="E261" s="6">
        <v>-700</v>
      </c>
      <c r="F261" t="s">
        <v>162</v>
      </c>
      <c r="G261" t="s">
        <v>163</v>
      </c>
      <c r="H261" t="s">
        <v>30</v>
      </c>
      <c r="I261" t="s">
        <v>145</v>
      </c>
      <c r="K261" t="s">
        <v>27</v>
      </c>
      <c r="L261" t="s">
        <v>27</v>
      </c>
      <c r="M261" t="s">
        <v>27</v>
      </c>
      <c r="N261" s="7">
        <v>45992</v>
      </c>
      <c r="O261" s="6">
        <v>-545.15650000000005</v>
      </c>
      <c r="P261" t="s">
        <v>109</v>
      </c>
      <c r="Q261" t="s">
        <v>57</v>
      </c>
      <c r="R261" t="s">
        <v>30</v>
      </c>
      <c r="S261" t="s">
        <v>58</v>
      </c>
    </row>
    <row r="262" spans="1:19" x14ac:dyDescent="0.25">
      <c r="A262" t="s">
        <v>27</v>
      </c>
      <c r="B262" t="s">
        <v>27</v>
      </c>
      <c r="C262" t="s">
        <v>27</v>
      </c>
      <c r="D262" s="7">
        <v>45748</v>
      </c>
      <c r="E262" s="6">
        <v>-700</v>
      </c>
      <c r="F262" t="s">
        <v>162</v>
      </c>
      <c r="G262" t="s">
        <v>163</v>
      </c>
      <c r="H262" t="s">
        <v>30</v>
      </c>
      <c r="I262" t="s">
        <v>145</v>
      </c>
      <c r="K262" t="s">
        <v>27</v>
      </c>
      <c r="L262" t="s">
        <v>27</v>
      </c>
      <c r="M262" t="s">
        <v>27</v>
      </c>
      <c r="N262" s="7">
        <v>45992</v>
      </c>
      <c r="O262" s="6">
        <v>-545.15650000000005</v>
      </c>
      <c r="P262" t="s">
        <v>109</v>
      </c>
      <c r="Q262" t="s">
        <v>57</v>
      </c>
      <c r="R262" t="s">
        <v>30</v>
      </c>
      <c r="S262" t="s">
        <v>58</v>
      </c>
    </row>
    <row r="263" spans="1:19" x14ac:dyDescent="0.25">
      <c r="A263" t="s">
        <v>27</v>
      </c>
      <c r="B263" t="s">
        <v>27</v>
      </c>
      <c r="C263" t="s">
        <v>27</v>
      </c>
      <c r="D263" s="7">
        <v>45778</v>
      </c>
      <c r="E263" s="6">
        <v>-700</v>
      </c>
      <c r="F263" t="s">
        <v>162</v>
      </c>
      <c r="G263" t="s">
        <v>163</v>
      </c>
      <c r="H263" t="s">
        <v>30</v>
      </c>
      <c r="I263" t="s">
        <v>145</v>
      </c>
      <c r="K263" t="s">
        <v>27</v>
      </c>
      <c r="L263" t="s">
        <v>27</v>
      </c>
      <c r="M263" t="s">
        <v>27</v>
      </c>
      <c r="N263" s="7">
        <v>45962</v>
      </c>
      <c r="O263" s="6">
        <v>-4286.058</v>
      </c>
      <c r="P263" t="s">
        <v>110</v>
      </c>
      <c r="Q263" t="s">
        <v>57</v>
      </c>
      <c r="R263" t="s">
        <v>30</v>
      </c>
      <c r="S263" t="s">
        <v>58</v>
      </c>
    </row>
    <row r="264" spans="1:19" x14ac:dyDescent="0.25">
      <c r="A264" t="s">
        <v>27</v>
      </c>
      <c r="B264" t="s">
        <v>27</v>
      </c>
      <c r="C264" t="s">
        <v>27</v>
      </c>
      <c r="D264" s="7">
        <v>45809</v>
      </c>
      <c r="E264" s="6">
        <v>-700</v>
      </c>
      <c r="F264" t="s">
        <v>162</v>
      </c>
      <c r="G264" t="s">
        <v>163</v>
      </c>
      <c r="H264" t="s">
        <v>30</v>
      </c>
      <c r="I264" t="s">
        <v>145</v>
      </c>
      <c r="K264" t="s">
        <v>27</v>
      </c>
      <c r="L264" t="s">
        <v>27</v>
      </c>
      <c r="M264" t="s">
        <v>27</v>
      </c>
      <c r="N264" s="7">
        <v>45992</v>
      </c>
      <c r="O264" s="6">
        <v>-4286.058</v>
      </c>
      <c r="P264" t="s">
        <v>110</v>
      </c>
      <c r="Q264" t="s">
        <v>57</v>
      </c>
      <c r="R264" t="s">
        <v>30</v>
      </c>
      <c r="S264" t="s">
        <v>58</v>
      </c>
    </row>
    <row r="265" spans="1:19" x14ac:dyDescent="0.25">
      <c r="A265" t="s">
        <v>27</v>
      </c>
      <c r="B265" t="s">
        <v>27</v>
      </c>
      <c r="C265" t="s">
        <v>27</v>
      </c>
      <c r="D265" s="7">
        <v>45839</v>
      </c>
      <c r="E265" s="6">
        <v>-700</v>
      </c>
      <c r="F265" t="s">
        <v>162</v>
      </c>
      <c r="G265" t="s">
        <v>163</v>
      </c>
      <c r="H265" t="s">
        <v>30</v>
      </c>
      <c r="I265" t="s">
        <v>145</v>
      </c>
      <c r="K265" t="s">
        <v>27</v>
      </c>
      <c r="L265" t="s">
        <v>27</v>
      </c>
      <c r="M265" t="s">
        <v>27</v>
      </c>
      <c r="N265" s="7">
        <v>45992</v>
      </c>
      <c r="O265" s="6">
        <v>-4286.058</v>
      </c>
      <c r="P265" t="s">
        <v>110</v>
      </c>
      <c r="Q265" t="s">
        <v>57</v>
      </c>
      <c r="R265" t="s">
        <v>30</v>
      </c>
      <c r="S265" t="s">
        <v>58</v>
      </c>
    </row>
    <row r="266" spans="1:19" x14ac:dyDescent="0.25">
      <c r="A266" t="s">
        <v>27</v>
      </c>
      <c r="B266" t="s">
        <v>27</v>
      </c>
      <c r="C266" t="s">
        <v>27</v>
      </c>
      <c r="D266" s="7">
        <v>45870</v>
      </c>
      <c r="E266" s="6">
        <v>-700</v>
      </c>
      <c r="F266" t="s">
        <v>162</v>
      </c>
      <c r="G266" t="s">
        <v>163</v>
      </c>
      <c r="H266" t="s">
        <v>30</v>
      </c>
      <c r="I266" t="s">
        <v>145</v>
      </c>
      <c r="K266" t="s">
        <v>27</v>
      </c>
      <c r="L266" t="s">
        <v>27</v>
      </c>
      <c r="M266" t="s">
        <v>27</v>
      </c>
      <c r="N266" s="7">
        <v>45992</v>
      </c>
      <c r="O266" s="6">
        <v>-4286.058</v>
      </c>
      <c r="P266" t="s">
        <v>110</v>
      </c>
      <c r="Q266" t="s">
        <v>57</v>
      </c>
      <c r="R266" t="s">
        <v>30</v>
      </c>
      <c r="S266" t="s">
        <v>58</v>
      </c>
    </row>
    <row r="267" spans="1:19" x14ac:dyDescent="0.25">
      <c r="A267" t="s">
        <v>27</v>
      </c>
      <c r="B267" t="s">
        <v>27</v>
      </c>
      <c r="C267" t="s">
        <v>27</v>
      </c>
      <c r="D267" s="7">
        <v>45901</v>
      </c>
      <c r="E267" s="6">
        <v>-700</v>
      </c>
      <c r="F267" t="s">
        <v>162</v>
      </c>
      <c r="G267" t="s">
        <v>163</v>
      </c>
      <c r="H267" t="s">
        <v>30</v>
      </c>
      <c r="I267" t="s">
        <v>145</v>
      </c>
      <c r="K267" t="s">
        <v>27</v>
      </c>
      <c r="L267" t="s">
        <v>27</v>
      </c>
      <c r="M267" t="s">
        <v>27</v>
      </c>
      <c r="N267" s="7">
        <v>45962</v>
      </c>
      <c r="O267" s="6">
        <v>-91.978375000000014</v>
      </c>
      <c r="P267" t="s">
        <v>111</v>
      </c>
      <c r="Q267" t="s">
        <v>57</v>
      </c>
      <c r="R267" t="s">
        <v>30</v>
      </c>
      <c r="S267" t="s">
        <v>58</v>
      </c>
    </row>
    <row r="268" spans="1:19" x14ac:dyDescent="0.25">
      <c r="A268" t="s">
        <v>27</v>
      </c>
      <c r="B268" t="s">
        <v>27</v>
      </c>
      <c r="C268" t="s">
        <v>27</v>
      </c>
      <c r="D268" s="7">
        <v>45931</v>
      </c>
      <c r="E268" s="6">
        <v>-700</v>
      </c>
      <c r="F268" t="s">
        <v>162</v>
      </c>
      <c r="G268" t="s">
        <v>163</v>
      </c>
      <c r="H268" t="s">
        <v>30</v>
      </c>
      <c r="I268" t="s">
        <v>145</v>
      </c>
      <c r="K268" t="s">
        <v>27</v>
      </c>
      <c r="L268" t="s">
        <v>27</v>
      </c>
      <c r="M268" t="s">
        <v>27</v>
      </c>
      <c r="N268" s="7">
        <v>45992</v>
      </c>
      <c r="O268" s="6">
        <v>-91.978375000000014</v>
      </c>
      <c r="P268" t="s">
        <v>111</v>
      </c>
      <c r="Q268" t="s">
        <v>57</v>
      </c>
      <c r="R268" t="s">
        <v>30</v>
      </c>
      <c r="S268" t="s">
        <v>58</v>
      </c>
    </row>
    <row r="269" spans="1:19" x14ac:dyDescent="0.25">
      <c r="A269" t="s">
        <v>27</v>
      </c>
      <c r="B269" t="s">
        <v>27</v>
      </c>
      <c r="C269" t="s">
        <v>27</v>
      </c>
      <c r="D269" s="7">
        <v>45962</v>
      </c>
      <c r="E269" s="6">
        <v>-700</v>
      </c>
      <c r="F269" t="s">
        <v>162</v>
      </c>
      <c r="G269" t="s">
        <v>163</v>
      </c>
      <c r="H269" t="s">
        <v>30</v>
      </c>
      <c r="I269" t="s">
        <v>145</v>
      </c>
      <c r="K269" t="s">
        <v>27</v>
      </c>
      <c r="L269" t="s">
        <v>27</v>
      </c>
      <c r="M269" t="s">
        <v>27</v>
      </c>
      <c r="N269" s="7">
        <v>45992</v>
      </c>
      <c r="O269" s="6">
        <v>-91.978375000000014</v>
      </c>
      <c r="P269" t="s">
        <v>111</v>
      </c>
      <c r="Q269" t="s">
        <v>57</v>
      </c>
      <c r="R269" t="s">
        <v>30</v>
      </c>
      <c r="S269" t="s">
        <v>58</v>
      </c>
    </row>
    <row r="270" spans="1:19" x14ac:dyDescent="0.25">
      <c r="A270" t="s">
        <v>27</v>
      </c>
      <c r="B270" t="s">
        <v>27</v>
      </c>
      <c r="C270" t="s">
        <v>27</v>
      </c>
      <c r="D270" s="7">
        <v>45992</v>
      </c>
      <c r="E270" s="6">
        <v>-700</v>
      </c>
      <c r="F270" t="s">
        <v>162</v>
      </c>
      <c r="G270" t="s">
        <v>163</v>
      </c>
      <c r="H270" t="s">
        <v>30</v>
      </c>
      <c r="I270" t="s">
        <v>145</v>
      </c>
      <c r="K270" t="s">
        <v>27</v>
      </c>
      <c r="L270" t="s">
        <v>27</v>
      </c>
      <c r="M270" t="s">
        <v>27</v>
      </c>
      <c r="N270" s="7">
        <v>45992</v>
      </c>
      <c r="O270" s="6">
        <v>-91.978375000000014</v>
      </c>
      <c r="P270" t="s">
        <v>111</v>
      </c>
      <c r="Q270" t="s">
        <v>57</v>
      </c>
      <c r="R270" t="s">
        <v>30</v>
      </c>
      <c r="S270" t="s">
        <v>58</v>
      </c>
    </row>
    <row r="271" spans="1:19" x14ac:dyDescent="0.25">
      <c r="A271" t="s">
        <v>27</v>
      </c>
      <c r="B271" t="s">
        <v>27</v>
      </c>
      <c r="C271" t="s">
        <v>27</v>
      </c>
      <c r="D271" s="7">
        <v>45658</v>
      </c>
      <c r="E271" s="6">
        <v>-350</v>
      </c>
      <c r="F271" t="s">
        <v>164</v>
      </c>
      <c r="G271" t="s">
        <v>165</v>
      </c>
      <c r="H271" t="s">
        <v>30</v>
      </c>
      <c r="I271" t="s">
        <v>145</v>
      </c>
      <c r="K271" t="s">
        <v>27</v>
      </c>
      <c r="L271" t="s">
        <v>27</v>
      </c>
      <c r="M271" t="s">
        <v>27</v>
      </c>
      <c r="N271" s="7">
        <v>45962</v>
      </c>
      <c r="O271" s="6">
        <v>-92.649750000000012</v>
      </c>
      <c r="P271" t="s">
        <v>112</v>
      </c>
      <c r="Q271" t="s">
        <v>57</v>
      </c>
      <c r="R271" t="s">
        <v>30</v>
      </c>
      <c r="S271" t="s">
        <v>58</v>
      </c>
    </row>
    <row r="272" spans="1:19" x14ac:dyDescent="0.25">
      <c r="A272" t="s">
        <v>27</v>
      </c>
      <c r="B272" t="s">
        <v>27</v>
      </c>
      <c r="C272" t="s">
        <v>27</v>
      </c>
      <c r="D272" s="7">
        <v>45689</v>
      </c>
      <c r="E272" s="6">
        <v>-350</v>
      </c>
      <c r="F272" t="s">
        <v>164</v>
      </c>
      <c r="G272" t="s">
        <v>165</v>
      </c>
      <c r="H272" t="s">
        <v>30</v>
      </c>
      <c r="I272" t="s">
        <v>145</v>
      </c>
      <c r="K272" t="s">
        <v>27</v>
      </c>
      <c r="L272" t="s">
        <v>27</v>
      </c>
      <c r="M272" t="s">
        <v>27</v>
      </c>
      <c r="N272" s="7">
        <v>45992</v>
      </c>
      <c r="O272" s="6">
        <v>-92.649750000000012</v>
      </c>
      <c r="P272" t="s">
        <v>112</v>
      </c>
      <c r="Q272" t="s">
        <v>57</v>
      </c>
      <c r="R272" t="s">
        <v>30</v>
      </c>
      <c r="S272" t="s">
        <v>58</v>
      </c>
    </row>
    <row r="273" spans="1:19" x14ac:dyDescent="0.25">
      <c r="A273" t="s">
        <v>27</v>
      </c>
      <c r="B273" t="s">
        <v>27</v>
      </c>
      <c r="C273" t="s">
        <v>27</v>
      </c>
      <c r="D273" s="7">
        <v>45717</v>
      </c>
      <c r="E273" s="6">
        <v>-350</v>
      </c>
      <c r="F273" t="s">
        <v>164</v>
      </c>
      <c r="G273" t="s">
        <v>165</v>
      </c>
      <c r="H273" t="s">
        <v>30</v>
      </c>
      <c r="I273" t="s">
        <v>145</v>
      </c>
      <c r="K273" t="s">
        <v>27</v>
      </c>
      <c r="L273" t="s">
        <v>27</v>
      </c>
      <c r="M273" t="s">
        <v>27</v>
      </c>
      <c r="N273" s="7">
        <v>45992</v>
      </c>
      <c r="O273" s="6">
        <v>-92.649750000000012</v>
      </c>
      <c r="P273" t="s">
        <v>112</v>
      </c>
      <c r="Q273" t="s">
        <v>57</v>
      </c>
      <c r="R273" t="s">
        <v>30</v>
      </c>
      <c r="S273" t="s">
        <v>58</v>
      </c>
    </row>
    <row r="274" spans="1:19" x14ac:dyDescent="0.25">
      <c r="A274" t="s">
        <v>27</v>
      </c>
      <c r="B274" t="s">
        <v>27</v>
      </c>
      <c r="C274" t="s">
        <v>27</v>
      </c>
      <c r="D274" s="7">
        <v>45748</v>
      </c>
      <c r="E274" s="6">
        <v>-350</v>
      </c>
      <c r="F274" t="s">
        <v>164</v>
      </c>
      <c r="G274" t="s">
        <v>165</v>
      </c>
      <c r="H274" t="s">
        <v>30</v>
      </c>
      <c r="I274" t="s">
        <v>145</v>
      </c>
      <c r="K274" t="s">
        <v>27</v>
      </c>
      <c r="L274" t="s">
        <v>27</v>
      </c>
      <c r="M274" t="s">
        <v>27</v>
      </c>
      <c r="N274" s="7">
        <v>45992</v>
      </c>
      <c r="O274" s="6">
        <v>-92.649750000000012</v>
      </c>
      <c r="P274" t="s">
        <v>112</v>
      </c>
      <c r="Q274" t="s">
        <v>57</v>
      </c>
      <c r="R274" t="s">
        <v>30</v>
      </c>
      <c r="S274" t="s">
        <v>58</v>
      </c>
    </row>
    <row r="275" spans="1:19" x14ac:dyDescent="0.25">
      <c r="A275" t="s">
        <v>27</v>
      </c>
      <c r="B275" t="s">
        <v>27</v>
      </c>
      <c r="C275" t="s">
        <v>27</v>
      </c>
      <c r="D275" s="7">
        <v>45778</v>
      </c>
      <c r="E275" s="6">
        <v>-350</v>
      </c>
      <c r="F275" t="s">
        <v>164</v>
      </c>
      <c r="G275" t="s">
        <v>165</v>
      </c>
      <c r="H275" t="s">
        <v>30</v>
      </c>
      <c r="I275" t="s">
        <v>145</v>
      </c>
      <c r="K275" t="s">
        <v>27</v>
      </c>
      <c r="L275" t="s">
        <v>27</v>
      </c>
      <c r="M275" t="s">
        <v>27</v>
      </c>
      <c r="N275" s="7">
        <v>45992</v>
      </c>
      <c r="O275" s="6">
        <v>-10695.00375</v>
      </c>
      <c r="P275" t="s">
        <v>113</v>
      </c>
      <c r="Q275" t="s">
        <v>57</v>
      </c>
      <c r="R275" t="s">
        <v>30</v>
      </c>
      <c r="S275" t="s">
        <v>58</v>
      </c>
    </row>
    <row r="276" spans="1:19" x14ac:dyDescent="0.25">
      <c r="A276" t="s">
        <v>27</v>
      </c>
      <c r="B276" t="s">
        <v>27</v>
      </c>
      <c r="C276" t="s">
        <v>27</v>
      </c>
      <c r="D276" s="7">
        <v>45809</v>
      </c>
      <c r="E276" s="6">
        <v>-350</v>
      </c>
      <c r="F276" t="s">
        <v>164</v>
      </c>
      <c r="G276" t="s">
        <v>165</v>
      </c>
      <c r="H276" t="s">
        <v>30</v>
      </c>
      <c r="I276" t="s">
        <v>145</v>
      </c>
      <c r="K276" t="s">
        <v>27</v>
      </c>
      <c r="L276" t="s">
        <v>27</v>
      </c>
      <c r="M276" t="s">
        <v>27</v>
      </c>
      <c r="N276" s="7">
        <v>45992</v>
      </c>
      <c r="O276" s="6">
        <v>-10695.00375</v>
      </c>
      <c r="P276" t="s">
        <v>113</v>
      </c>
      <c r="Q276" t="s">
        <v>57</v>
      </c>
      <c r="R276" t="s">
        <v>30</v>
      </c>
      <c r="S276" t="s">
        <v>58</v>
      </c>
    </row>
    <row r="277" spans="1:19" x14ac:dyDescent="0.25">
      <c r="A277" t="s">
        <v>27</v>
      </c>
      <c r="B277" t="s">
        <v>27</v>
      </c>
      <c r="C277" t="s">
        <v>27</v>
      </c>
      <c r="D277" s="7">
        <v>45839</v>
      </c>
      <c r="E277" s="6">
        <v>-350</v>
      </c>
      <c r="F277" t="s">
        <v>164</v>
      </c>
      <c r="G277" t="s">
        <v>165</v>
      </c>
      <c r="H277" t="s">
        <v>30</v>
      </c>
      <c r="I277" t="s">
        <v>145</v>
      </c>
      <c r="K277" t="s">
        <v>27</v>
      </c>
      <c r="L277" t="s">
        <v>27</v>
      </c>
      <c r="M277" t="s">
        <v>27</v>
      </c>
      <c r="N277" s="7">
        <v>46023</v>
      </c>
      <c r="O277" s="6">
        <v>-10695.00375</v>
      </c>
      <c r="P277" t="s">
        <v>113</v>
      </c>
      <c r="Q277" t="s">
        <v>57</v>
      </c>
      <c r="R277" t="s">
        <v>30</v>
      </c>
      <c r="S277" t="s">
        <v>58</v>
      </c>
    </row>
    <row r="278" spans="1:19" x14ac:dyDescent="0.25">
      <c r="A278" t="s">
        <v>27</v>
      </c>
      <c r="B278" t="s">
        <v>27</v>
      </c>
      <c r="C278" t="s">
        <v>27</v>
      </c>
      <c r="D278" s="7">
        <v>45870</v>
      </c>
      <c r="E278" s="6">
        <v>-350</v>
      </c>
      <c r="F278" t="s">
        <v>164</v>
      </c>
      <c r="G278" t="s">
        <v>165</v>
      </c>
      <c r="H278" t="s">
        <v>30</v>
      </c>
      <c r="I278" t="s">
        <v>145</v>
      </c>
      <c r="K278" t="s">
        <v>27</v>
      </c>
      <c r="L278" t="s">
        <v>27</v>
      </c>
      <c r="M278" t="s">
        <v>27</v>
      </c>
      <c r="N278" s="7">
        <v>46023</v>
      </c>
      <c r="O278" s="6">
        <v>-10695.00375</v>
      </c>
      <c r="P278" t="s">
        <v>113</v>
      </c>
      <c r="Q278" t="s">
        <v>57</v>
      </c>
      <c r="R278" t="s">
        <v>30</v>
      </c>
      <c r="S278" t="s">
        <v>58</v>
      </c>
    </row>
    <row r="279" spans="1:19" x14ac:dyDescent="0.25">
      <c r="A279" t="s">
        <v>27</v>
      </c>
      <c r="B279" t="s">
        <v>27</v>
      </c>
      <c r="C279" t="s">
        <v>27</v>
      </c>
      <c r="D279" s="7">
        <v>45901</v>
      </c>
      <c r="E279" s="6">
        <v>-350</v>
      </c>
      <c r="F279" t="s">
        <v>164</v>
      </c>
      <c r="G279" t="s">
        <v>165</v>
      </c>
      <c r="H279" t="s">
        <v>30</v>
      </c>
      <c r="I279" t="s">
        <v>145</v>
      </c>
      <c r="K279" t="s">
        <v>27</v>
      </c>
      <c r="L279" t="s">
        <v>27</v>
      </c>
      <c r="M279" t="s">
        <v>27</v>
      </c>
      <c r="N279" s="7">
        <v>45992</v>
      </c>
      <c r="O279" s="6">
        <v>-717.02850000000001</v>
      </c>
      <c r="P279" t="s">
        <v>114</v>
      </c>
      <c r="Q279" t="s">
        <v>57</v>
      </c>
      <c r="R279" t="s">
        <v>30</v>
      </c>
      <c r="S279" t="s">
        <v>58</v>
      </c>
    </row>
    <row r="280" spans="1:19" x14ac:dyDescent="0.25">
      <c r="A280" t="s">
        <v>27</v>
      </c>
      <c r="B280" t="s">
        <v>27</v>
      </c>
      <c r="C280" t="s">
        <v>27</v>
      </c>
      <c r="D280" s="7">
        <v>45931</v>
      </c>
      <c r="E280" s="6">
        <v>-350</v>
      </c>
      <c r="F280" t="s">
        <v>164</v>
      </c>
      <c r="G280" t="s">
        <v>165</v>
      </c>
      <c r="H280" t="s">
        <v>30</v>
      </c>
      <c r="I280" t="s">
        <v>145</v>
      </c>
      <c r="K280" t="s">
        <v>27</v>
      </c>
      <c r="L280" t="s">
        <v>27</v>
      </c>
      <c r="M280" t="s">
        <v>27</v>
      </c>
      <c r="N280" s="7">
        <v>45992</v>
      </c>
      <c r="O280" s="6">
        <v>-717.02850000000001</v>
      </c>
      <c r="P280" t="s">
        <v>114</v>
      </c>
      <c r="Q280" t="s">
        <v>57</v>
      </c>
      <c r="R280" t="s">
        <v>30</v>
      </c>
      <c r="S280" t="s">
        <v>58</v>
      </c>
    </row>
    <row r="281" spans="1:19" x14ac:dyDescent="0.25">
      <c r="A281" t="s">
        <v>27</v>
      </c>
      <c r="B281" t="s">
        <v>27</v>
      </c>
      <c r="C281" t="s">
        <v>27</v>
      </c>
      <c r="D281" s="7">
        <v>45962</v>
      </c>
      <c r="E281" s="6">
        <v>-350</v>
      </c>
      <c r="F281" t="s">
        <v>164</v>
      </c>
      <c r="G281" t="s">
        <v>165</v>
      </c>
      <c r="H281" t="s">
        <v>30</v>
      </c>
      <c r="I281" t="s">
        <v>145</v>
      </c>
      <c r="K281" t="s">
        <v>27</v>
      </c>
      <c r="L281" t="s">
        <v>27</v>
      </c>
      <c r="M281" t="s">
        <v>27</v>
      </c>
      <c r="N281" s="7">
        <v>46023</v>
      </c>
      <c r="O281" s="6">
        <v>-717.02850000000001</v>
      </c>
      <c r="P281" t="s">
        <v>114</v>
      </c>
      <c r="Q281" t="s">
        <v>57</v>
      </c>
      <c r="R281" t="s">
        <v>30</v>
      </c>
      <c r="S281" t="s">
        <v>58</v>
      </c>
    </row>
    <row r="282" spans="1:19" x14ac:dyDescent="0.25">
      <c r="A282" t="s">
        <v>27</v>
      </c>
      <c r="B282" t="s">
        <v>27</v>
      </c>
      <c r="C282" t="s">
        <v>27</v>
      </c>
      <c r="D282" s="7">
        <v>45992</v>
      </c>
      <c r="E282" s="6">
        <v>-350</v>
      </c>
      <c r="F282" t="s">
        <v>164</v>
      </c>
      <c r="G282" t="s">
        <v>165</v>
      </c>
      <c r="H282" t="s">
        <v>30</v>
      </c>
      <c r="I282" t="s">
        <v>145</v>
      </c>
      <c r="K282" t="s">
        <v>27</v>
      </c>
      <c r="L282" t="s">
        <v>27</v>
      </c>
      <c r="M282" t="s">
        <v>27</v>
      </c>
      <c r="N282" s="7">
        <v>46023</v>
      </c>
      <c r="O282" s="6">
        <v>-717.02850000000001</v>
      </c>
      <c r="P282" t="s">
        <v>114</v>
      </c>
      <c r="Q282" t="s">
        <v>57</v>
      </c>
      <c r="R282" t="s">
        <v>30</v>
      </c>
      <c r="S282" t="s">
        <v>58</v>
      </c>
    </row>
    <row r="283" spans="1:19" x14ac:dyDescent="0.25">
      <c r="A283" t="s">
        <v>27</v>
      </c>
      <c r="B283" t="s">
        <v>27</v>
      </c>
      <c r="C283" t="s">
        <v>27</v>
      </c>
      <c r="D283" s="7">
        <v>45658</v>
      </c>
      <c r="E283" s="6">
        <v>-1000</v>
      </c>
      <c r="F283" t="s">
        <v>166</v>
      </c>
      <c r="G283" t="s">
        <v>167</v>
      </c>
      <c r="H283" t="s">
        <v>30</v>
      </c>
      <c r="I283" t="s">
        <v>145</v>
      </c>
      <c r="K283" t="s">
        <v>27</v>
      </c>
      <c r="L283" t="s">
        <v>27</v>
      </c>
      <c r="M283" t="s">
        <v>27</v>
      </c>
      <c r="N283" s="7">
        <v>45992</v>
      </c>
      <c r="O283" s="6">
        <v>-5639.55</v>
      </c>
      <c r="P283" t="s">
        <v>115</v>
      </c>
      <c r="Q283" t="s">
        <v>57</v>
      </c>
      <c r="R283" t="s">
        <v>30</v>
      </c>
      <c r="S283" t="s">
        <v>58</v>
      </c>
    </row>
    <row r="284" spans="1:19" x14ac:dyDescent="0.25">
      <c r="A284" t="s">
        <v>27</v>
      </c>
      <c r="B284" t="s">
        <v>27</v>
      </c>
      <c r="C284" t="s">
        <v>27</v>
      </c>
      <c r="D284" s="7">
        <v>45689</v>
      </c>
      <c r="E284" s="6">
        <v>-1000</v>
      </c>
      <c r="F284" t="s">
        <v>166</v>
      </c>
      <c r="G284" t="s">
        <v>167</v>
      </c>
      <c r="H284" t="s">
        <v>30</v>
      </c>
      <c r="I284" t="s">
        <v>145</v>
      </c>
      <c r="K284" t="s">
        <v>27</v>
      </c>
      <c r="L284" t="s">
        <v>27</v>
      </c>
      <c r="M284" t="s">
        <v>27</v>
      </c>
      <c r="N284" s="7">
        <v>45992</v>
      </c>
      <c r="O284" s="6">
        <v>-5639.55</v>
      </c>
      <c r="P284" t="s">
        <v>115</v>
      </c>
      <c r="Q284" t="s">
        <v>57</v>
      </c>
      <c r="R284" t="s">
        <v>30</v>
      </c>
      <c r="S284" t="s">
        <v>58</v>
      </c>
    </row>
    <row r="285" spans="1:19" x14ac:dyDescent="0.25">
      <c r="A285" t="s">
        <v>27</v>
      </c>
      <c r="B285" t="s">
        <v>27</v>
      </c>
      <c r="C285" t="s">
        <v>27</v>
      </c>
      <c r="D285" s="7">
        <v>45717</v>
      </c>
      <c r="E285" s="6">
        <v>-1000</v>
      </c>
      <c r="F285" t="s">
        <v>166</v>
      </c>
      <c r="G285" t="s">
        <v>167</v>
      </c>
      <c r="H285" t="s">
        <v>30</v>
      </c>
      <c r="I285" t="s">
        <v>145</v>
      </c>
      <c r="K285" t="s">
        <v>27</v>
      </c>
      <c r="L285" t="s">
        <v>27</v>
      </c>
      <c r="M285" t="s">
        <v>27</v>
      </c>
      <c r="N285" s="7">
        <v>46023</v>
      </c>
      <c r="O285" s="6">
        <v>-5639.55</v>
      </c>
      <c r="P285" t="s">
        <v>115</v>
      </c>
      <c r="Q285" t="s">
        <v>57</v>
      </c>
      <c r="R285" t="s">
        <v>30</v>
      </c>
      <c r="S285" t="s">
        <v>58</v>
      </c>
    </row>
    <row r="286" spans="1:19" x14ac:dyDescent="0.25">
      <c r="A286" t="s">
        <v>27</v>
      </c>
      <c r="B286" t="s">
        <v>27</v>
      </c>
      <c r="C286" t="s">
        <v>27</v>
      </c>
      <c r="D286" s="7">
        <v>45748</v>
      </c>
      <c r="E286" s="6">
        <v>-1000</v>
      </c>
      <c r="F286" t="s">
        <v>166</v>
      </c>
      <c r="G286" t="s">
        <v>167</v>
      </c>
      <c r="H286" t="s">
        <v>30</v>
      </c>
      <c r="I286" t="s">
        <v>145</v>
      </c>
      <c r="K286" t="s">
        <v>27</v>
      </c>
      <c r="L286" t="s">
        <v>27</v>
      </c>
      <c r="M286" t="s">
        <v>27</v>
      </c>
      <c r="N286" s="7">
        <v>46023</v>
      </c>
      <c r="O286" s="6">
        <v>-5639.55</v>
      </c>
      <c r="P286" t="s">
        <v>115</v>
      </c>
      <c r="Q286" t="s">
        <v>57</v>
      </c>
      <c r="R286" t="s">
        <v>30</v>
      </c>
      <c r="S286" t="s">
        <v>58</v>
      </c>
    </row>
    <row r="287" spans="1:19" x14ac:dyDescent="0.25">
      <c r="A287" t="s">
        <v>27</v>
      </c>
      <c r="B287" t="s">
        <v>27</v>
      </c>
      <c r="C287" t="s">
        <v>27</v>
      </c>
      <c r="D287" s="7">
        <v>45778</v>
      </c>
      <c r="E287" s="6">
        <v>-1000</v>
      </c>
      <c r="F287" t="s">
        <v>166</v>
      </c>
      <c r="G287" t="s">
        <v>167</v>
      </c>
      <c r="H287" t="s">
        <v>30</v>
      </c>
      <c r="I287" t="s">
        <v>145</v>
      </c>
      <c r="K287" t="s">
        <v>27</v>
      </c>
      <c r="L287" t="s">
        <v>27</v>
      </c>
      <c r="M287" t="s">
        <v>27</v>
      </c>
      <c r="N287" s="7">
        <v>45992</v>
      </c>
      <c r="O287" s="6">
        <v>-120.8475</v>
      </c>
      <c r="P287" t="s">
        <v>116</v>
      </c>
      <c r="Q287" t="s">
        <v>57</v>
      </c>
      <c r="R287" t="s">
        <v>30</v>
      </c>
      <c r="S287" t="s">
        <v>58</v>
      </c>
    </row>
    <row r="288" spans="1:19" x14ac:dyDescent="0.25">
      <c r="A288" t="s">
        <v>27</v>
      </c>
      <c r="B288" t="s">
        <v>27</v>
      </c>
      <c r="C288" t="s">
        <v>27</v>
      </c>
      <c r="D288" s="7">
        <v>45809</v>
      </c>
      <c r="E288" s="6">
        <v>-1000</v>
      </c>
      <c r="F288" t="s">
        <v>166</v>
      </c>
      <c r="G288" t="s">
        <v>167</v>
      </c>
      <c r="H288" t="s">
        <v>30</v>
      </c>
      <c r="I288" t="s">
        <v>145</v>
      </c>
      <c r="K288" t="s">
        <v>27</v>
      </c>
      <c r="L288" t="s">
        <v>27</v>
      </c>
      <c r="M288" t="s">
        <v>27</v>
      </c>
      <c r="N288" s="7">
        <v>45992</v>
      </c>
      <c r="O288" s="6">
        <v>-120.8475</v>
      </c>
      <c r="P288" t="s">
        <v>116</v>
      </c>
      <c r="Q288" t="s">
        <v>57</v>
      </c>
      <c r="R288" t="s">
        <v>30</v>
      </c>
      <c r="S288" t="s">
        <v>58</v>
      </c>
    </row>
    <row r="289" spans="1:19" x14ac:dyDescent="0.25">
      <c r="A289" t="s">
        <v>27</v>
      </c>
      <c r="B289" t="s">
        <v>27</v>
      </c>
      <c r="C289" t="s">
        <v>27</v>
      </c>
      <c r="D289" s="7">
        <v>45839</v>
      </c>
      <c r="E289" s="6">
        <v>-1000</v>
      </c>
      <c r="F289" t="s">
        <v>166</v>
      </c>
      <c r="G289" t="s">
        <v>167</v>
      </c>
      <c r="H289" t="s">
        <v>30</v>
      </c>
      <c r="I289" t="s">
        <v>145</v>
      </c>
      <c r="K289" t="s">
        <v>27</v>
      </c>
      <c r="L289" t="s">
        <v>27</v>
      </c>
      <c r="M289" t="s">
        <v>27</v>
      </c>
      <c r="N289" s="7">
        <v>46023</v>
      </c>
      <c r="O289" s="6">
        <v>-120.8475</v>
      </c>
      <c r="P289" t="s">
        <v>116</v>
      </c>
      <c r="Q289" t="s">
        <v>57</v>
      </c>
      <c r="R289" t="s">
        <v>30</v>
      </c>
      <c r="S289" t="s">
        <v>58</v>
      </c>
    </row>
    <row r="290" spans="1:19" x14ac:dyDescent="0.25">
      <c r="A290" t="s">
        <v>27</v>
      </c>
      <c r="B290" t="s">
        <v>27</v>
      </c>
      <c r="C290" t="s">
        <v>27</v>
      </c>
      <c r="D290" s="7">
        <v>45870</v>
      </c>
      <c r="E290" s="6">
        <v>-1000</v>
      </c>
      <c r="F290" t="s">
        <v>166</v>
      </c>
      <c r="G290" t="s">
        <v>167</v>
      </c>
      <c r="H290" t="s">
        <v>30</v>
      </c>
      <c r="I290" t="s">
        <v>145</v>
      </c>
      <c r="K290" t="s">
        <v>27</v>
      </c>
      <c r="L290" t="s">
        <v>27</v>
      </c>
      <c r="M290" t="s">
        <v>27</v>
      </c>
      <c r="N290" s="7">
        <v>46023</v>
      </c>
      <c r="O290" s="6">
        <v>-120.8475</v>
      </c>
      <c r="P290" t="s">
        <v>116</v>
      </c>
      <c r="Q290" t="s">
        <v>57</v>
      </c>
      <c r="R290" t="s">
        <v>30</v>
      </c>
      <c r="S290" t="s">
        <v>58</v>
      </c>
    </row>
    <row r="291" spans="1:19" x14ac:dyDescent="0.25">
      <c r="A291" t="s">
        <v>27</v>
      </c>
      <c r="B291" t="s">
        <v>27</v>
      </c>
      <c r="C291" t="s">
        <v>27</v>
      </c>
      <c r="D291" s="7">
        <v>45901</v>
      </c>
      <c r="E291" s="6">
        <v>-1000</v>
      </c>
      <c r="F291" t="s">
        <v>166</v>
      </c>
      <c r="G291" t="s">
        <v>167</v>
      </c>
      <c r="H291" t="s">
        <v>30</v>
      </c>
      <c r="I291" t="s">
        <v>145</v>
      </c>
      <c r="K291" t="s">
        <v>27</v>
      </c>
      <c r="L291" t="s">
        <v>27</v>
      </c>
      <c r="M291" t="s">
        <v>27</v>
      </c>
      <c r="N291" s="7">
        <v>45992</v>
      </c>
      <c r="O291" s="6">
        <v>-120.8475</v>
      </c>
      <c r="P291" t="s">
        <v>117</v>
      </c>
      <c r="Q291" t="s">
        <v>57</v>
      </c>
      <c r="R291" t="s">
        <v>30</v>
      </c>
      <c r="S291" t="s">
        <v>58</v>
      </c>
    </row>
    <row r="292" spans="1:19" x14ac:dyDescent="0.25">
      <c r="A292" t="s">
        <v>27</v>
      </c>
      <c r="B292" t="s">
        <v>27</v>
      </c>
      <c r="C292" t="s">
        <v>27</v>
      </c>
      <c r="D292" s="7">
        <v>45931</v>
      </c>
      <c r="E292" s="6">
        <v>-1000</v>
      </c>
      <c r="F292" t="s">
        <v>166</v>
      </c>
      <c r="G292" t="s">
        <v>167</v>
      </c>
      <c r="H292" t="s">
        <v>30</v>
      </c>
      <c r="I292" t="s">
        <v>145</v>
      </c>
      <c r="K292" t="s">
        <v>27</v>
      </c>
      <c r="L292" t="s">
        <v>27</v>
      </c>
      <c r="M292" t="s">
        <v>27</v>
      </c>
      <c r="N292" s="7">
        <v>45992</v>
      </c>
      <c r="O292" s="6">
        <v>-120.8475</v>
      </c>
      <c r="P292" t="s">
        <v>117</v>
      </c>
      <c r="Q292" t="s">
        <v>57</v>
      </c>
      <c r="R292" t="s">
        <v>30</v>
      </c>
      <c r="S292" t="s">
        <v>58</v>
      </c>
    </row>
    <row r="293" spans="1:19" x14ac:dyDescent="0.25">
      <c r="A293" t="s">
        <v>27</v>
      </c>
      <c r="B293" t="s">
        <v>27</v>
      </c>
      <c r="C293" t="s">
        <v>27</v>
      </c>
      <c r="D293" s="7">
        <v>45962</v>
      </c>
      <c r="E293" s="6">
        <v>-1000</v>
      </c>
      <c r="F293" t="s">
        <v>166</v>
      </c>
      <c r="G293" t="s">
        <v>167</v>
      </c>
      <c r="H293" t="s">
        <v>30</v>
      </c>
      <c r="I293" t="s">
        <v>145</v>
      </c>
      <c r="K293" t="s">
        <v>27</v>
      </c>
      <c r="L293" t="s">
        <v>27</v>
      </c>
      <c r="M293" t="s">
        <v>27</v>
      </c>
      <c r="N293" s="7">
        <v>46023</v>
      </c>
      <c r="O293" s="6">
        <v>-120.8475</v>
      </c>
      <c r="P293" t="s">
        <v>117</v>
      </c>
      <c r="Q293" t="s">
        <v>57</v>
      </c>
      <c r="R293" t="s">
        <v>30</v>
      </c>
      <c r="S293" t="s">
        <v>58</v>
      </c>
    </row>
    <row r="294" spans="1:19" x14ac:dyDescent="0.25">
      <c r="A294" t="s">
        <v>27</v>
      </c>
      <c r="B294" t="s">
        <v>27</v>
      </c>
      <c r="C294" t="s">
        <v>27</v>
      </c>
      <c r="D294" s="7">
        <v>45992</v>
      </c>
      <c r="E294" s="6">
        <v>-1000</v>
      </c>
      <c r="F294" t="s">
        <v>166</v>
      </c>
      <c r="G294" t="s">
        <v>167</v>
      </c>
      <c r="H294" t="s">
        <v>30</v>
      </c>
      <c r="I294" t="s">
        <v>145</v>
      </c>
      <c r="K294" t="s">
        <v>27</v>
      </c>
      <c r="L294" t="s">
        <v>27</v>
      </c>
      <c r="M294" t="s">
        <v>27</v>
      </c>
      <c r="N294" s="7">
        <v>46023</v>
      </c>
      <c r="O294" s="6">
        <v>-120.8475</v>
      </c>
      <c r="P294" t="s">
        <v>117</v>
      </c>
      <c r="Q294" t="s">
        <v>57</v>
      </c>
      <c r="R294" t="s">
        <v>30</v>
      </c>
      <c r="S294" t="s">
        <v>58</v>
      </c>
    </row>
    <row r="295" spans="1:19" x14ac:dyDescent="0.25">
      <c r="A295" t="s">
        <v>27</v>
      </c>
      <c r="B295" t="s">
        <v>27</v>
      </c>
      <c r="C295" t="s">
        <v>27</v>
      </c>
      <c r="D295" s="7">
        <v>45658</v>
      </c>
      <c r="E295" s="6">
        <v>-2400</v>
      </c>
      <c r="F295" t="s">
        <v>168</v>
      </c>
      <c r="G295" t="s">
        <v>169</v>
      </c>
      <c r="H295" t="s">
        <v>30</v>
      </c>
      <c r="I295" t="s">
        <v>145</v>
      </c>
      <c r="K295" t="s">
        <v>27</v>
      </c>
      <c r="L295" t="s">
        <v>27</v>
      </c>
      <c r="M295" t="s">
        <v>27</v>
      </c>
      <c r="N295" s="7">
        <v>45658</v>
      </c>
      <c r="O295" s="6">
        <v>-247.5</v>
      </c>
      <c r="P295" t="s">
        <v>118</v>
      </c>
      <c r="Q295" t="s">
        <v>119</v>
      </c>
      <c r="R295" t="s">
        <v>30</v>
      </c>
      <c r="S295" t="s">
        <v>120</v>
      </c>
    </row>
    <row r="296" spans="1:19" x14ac:dyDescent="0.25">
      <c r="A296" t="s">
        <v>27</v>
      </c>
      <c r="B296" t="s">
        <v>27</v>
      </c>
      <c r="C296" t="s">
        <v>27</v>
      </c>
      <c r="D296" s="7">
        <v>45689</v>
      </c>
      <c r="E296" s="6">
        <v>-2400</v>
      </c>
      <c r="F296" t="s">
        <v>168</v>
      </c>
      <c r="G296" t="s">
        <v>169</v>
      </c>
      <c r="H296" t="s">
        <v>30</v>
      </c>
      <c r="I296" t="s">
        <v>145</v>
      </c>
      <c r="K296" t="s">
        <v>27</v>
      </c>
      <c r="L296" t="s">
        <v>27</v>
      </c>
      <c r="M296" t="s">
        <v>27</v>
      </c>
      <c r="N296" s="7">
        <v>45689</v>
      </c>
      <c r="O296" s="6">
        <v>-178.20000000000002</v>
      </c>
      <c r="P296" t="s">
        <v>121</v>
      </c>
      <c r="Q296" t="s">
        <v>119</v>
      </c>
      <c r="R296" t="s">
        <v>30</v>
      </c>
      <c r="S296" t="s">
        <v>120</v>
      </c>
    </row>
    <row r="297" spans="1:19" x14ac:dyDescent="0.25">
      <c r="A297" t="s">
        <v>27</v>
      </c>
      <c r="B297" t="s">
        <v>27</v>
      </c>
      <c r="C297" t="s">
        <v>27</v>
      </c>
      <c r="D297" s="7">
        <v>45717</v>
      </c>
      <c r="E297" s="6">
        <v>-2400</v>
      </c>
      <c r="F297" t="s">
        <v>168</v>
      </c>
      <c r="G297" t="s">
        <v>169</v>
      </c>
      <c r="H297" t="s">
        <v>30</v>
      </c>
      <c r="I297" t="s">
        <v>145</v>
      </c>
      <c r="K297" t="s">
        <v>27</v>
      </c>
      <c r="L297" t="s">
        <v>27</v>
      </c>
      <c r="M297" t="s">
        <v>27</v>
      </c>
      <c r="N297" s="7">
        <v>45717</v>
      </c>
      <c r="O297" s="6">
        <v>-275.31900000000002</v>
      </c>
      <c r="P297" t="s">
        <v>122</v>
      </c>
      <c r="Q297" t="s">
        <v>119</v>
      </c>
      <c r="R297" t="s">
        <v>30</v>
      </c>
      <c r="S297" t="s">
        <v>120</v>
      </c>
    </row>
    <row r="298" spans="1:19" x14ac:dyDescent="0.25">
      <c r="A298" t="s">
        <v>27</v>
      </c>
      <c r="B298" t="s">
        <v>27</v>
      </c>
      <c r="C298" t="s">
        <v>27</v>
      </c>
      <c r="D298" s="7">
        <v>45748</v>
      </c>
      <c r="E298" s="6">
        <v>-2400</v>
      </c>
      <c r="F298" t="s">
        <v>168</v>
      </c>
      <c r="G298" t="s">
        <v>169</v>
      </c>
      <c r="H298" t="s">
        <v>30</v>
      </c>
      <c r="I298" t="s">
        <v>145</v>
      </c>
      <c r="K298" t="s">
        <v>27</v>
      </c>
      <c r="L298" t="s">
        <v>27</v>
      </c>
      <c r="M298" t="s">
        <v>27</v>
      </c>
      <c r="N298" s="7">
        <v>45658</v>
      </c>
      <c r="O298" s="6">
        <v>-1328.2499999999998</v>
      </c>
      <c r="P298" t="s">
        <v>123</v>
      </c>
      <c r="Q298" t="s">
        <v>119</v>
      </c>
      <c r="R298" t="s">
        <v>30</v>
      </c>
      <c r="S298" t="s">
        <v>120</v>
      </c>
    </row>
    <row r="299" spans="1:19" x14ac:dyDescent="0.25">
      <c r="A299" t="s">
        <v>27</v>
      </c>
      <c r="B299" t="s">
        <v>27</v>
      </c>
      <c r="C299" t="s">
        <v>27</v>
      </c>
      <c r="D299" s="7">
        <v>45778</v>
      </c>
      <c r="E299" s="6">
        <v>-2400</v>
      </c>
      <c r="F299" t="s">
        <v>168</v>
      </c>
      <c r="G299" t="s">
        <v>169</v>
      </c>
      <c r="H299" t="s">
        <v>30</v>
      </c>
      <c r="I299" t="s">
        <v>145</v>
      </c>
      <c r="K299" t="s">
        <v>27</v>
      </c>
      <c r="L299" t="s">
        <v>27</v>
      </c>
      <c r="M299" t="s">
        <v>27</v>
      </c>
      <c r="N299" s="7">
        <v>45717</v>
      </c>
      <c r="O299" s="6">
        <v>-956.34</v>
      </c>
      <c r="P299" t="s">
        <v>124</v>
      </c>
      <c r="Q299" t="s">
        <v>119</v>
      </c>
      <c r="R299" t="s">
        <v>30</v>
      </c>
      <c r="S299" t="s">
        <v>120</v>
      </c>
    </row>
    <row r="300" spans="1:19" x14ac:dyDescent="0.25">
      <c r="A300" t="s">
        <v>27</v>
      </c>
      <c r="B300" t="s">
        <v>27</v>
      </c>
      <c r="C300" t="s">
        <v>27</v>
      </c>
      <c r="D300" s="7">
        <v>45809</v>
      </c>
      <c r="E300" s="6">
        <v>-2400</v>
      </c>
      <c r="F300" t="s">
        <v>168</v>
      </c>
      <c r="G300" t="s">
        <v>169</v>
      </c>
      <c r="H300" t="s">
        <v>30</v>
      </c>
      <c r="I300" t="s">
        <v>145</v>
      </c>
      <c r="K300" t="s">
        <v>27</v>
      </c>
      <c r="L300" t="s">
        <v>27</v>
      </c>
      <c r="M300" t="s">
        <v>27</v>
      </c>
      <c r="N300" s="7">
        <v>45717</v>
      </c>
      <c r="O300" s="6">
        <v>-1477.5453</v>
      </c>
      <c r="P300" t="s">
        <v>124</v>
      </c>
      <c r="Q300" t="s">
        <v>119</v>
      </c>
      <c r="R300" t="s">
        <v>30</v>
      </c>
      <c r="S300" t="s">
        <v>120</v>
      </c>
    </row>
    <row r="301" spans="1:19" x14ac:dyDescent="0.25">
      <c r="A301" t="s">
        <v>27</v>
      </c>
      <c r="B301" t="s">
        <v>27</v>
      </c>
      <c r="C301" t="s">
        <v>27</v>
      </c>
      <c r="D301" s="7">
        <v>45839</v>
      </c>
      <c r="E301" s="6">
        <v>-2400</v>
      </c>
      <c r="F301" t="s">
        <v>168</v>
      </c>
      <c r="G301" t="s">
        <v>169</v>
      </c>
      <c r="H301" t="s">
        <v>30</v>
      </c>
      <c r="I301" t="s">
        <v>145</v>
      </c>
      <c r="K301" t="s">
        <v>27</v>
      </c>
      <c r="L301" t="s">
        <v>27</v>
      </c>
      <c r="M301" t="s">
        <v>27</v>
      </c>
      <c r="N301" s="7">
        <v>45748</v>
      </c>
      <c r="O301" s="6">
        <v>-193.74299999999999</v>
      </c>
      <c r="P301" t="s">
        <v>125</v>
      </c>
      <c r="Q301" t="s">
        <v>119</v>
      </c>
      <c r="R301" t="s">
        <v>30</v>
      </c>
      <c r="S301" t="s">
        <v>120</v>
      </c>
    </row>
    <row r="302" spans="1:19" x14ac:dyDescent="0.25">
      <c r="A302" t="s">
        <v>27</v>
      </c>
      <c r="B302" t="s">
        <v>27</v>
      </c>
      <c r="C302" t="s">
        <v>27</v>
      </c>
      <c r="D302" s="7">
        <v>45870</v>
      </c>
      <c r="E302" s="6">
        <v>-2400</v>
      </c>
      <c r="F302" t="s">
        <v>168</v>
      </c>
      <c r="G302" t="s">
        <v>169</v>
      </c>
      <c r="H302" t="s">
        <v>30</v>
      </c>
      <c r="I302" t="s">
        <v>145</v>
      </c>
      <c r="K302" t="s">
        <v>27</v>
      </c>
      <c r="L302" t="s">
        <v>27</v>
      </c>
      <c r="M302" t="s">
        <v>27</v>
      </c>
      <c r="N302" s="7">
        <v>45778</v>
      </c>
      <c r="O302" s="6">
        <v>-1039.7541000000001</v>
      </c>
      <c r="P302" t="s">
        <v>126</v>
      </c>
      <c r="Q302" t="s">
        <v>119</v>
      </c>
      <c r="R302" t="s">
        <v>30</v>
      </c>
      <c r="S302" t="s">
        <v>120</v>
      </c>
    </row>
    <row r="303" spans="1:19" x14ac:dyDescent="0.25">
      <c r="A303" t="s">
        <v>27</v>
      </c>
      <c r="B303" t="s">
        <v>27</v>
      </c>
      <c r="C303" t="s">
        <v>27</v>
      </c>
      <c r="D303" s="7">
        <v>45901</v>
      </c>
      <c r="E303" s="6">
        <v>-2400</v>
      </c>
      <c r="F303" t="s">
        <v>168</v>
      </c>
      <c r="G303" t="s">
        <v>169</v>
      </c>
      <c r="H303" t="s">
        <v>30</v>
      </c>
      <c r="I303" t="s">
        <v>145</v>
      </c>
      <c r="K303" t="s">
        <v>27</v>
      </c>
      <c r="L303" t="s">
        <v>27</v>
      </c>
      <c r="M303" t="s">
        <v>27</v>
      </c>
      <c r="N303" s="7">
        <v>45778</v>
      </c>
      <c r="O303" s="6">
        <v>-243.91224000000008</v>
      </c>
      <c r="P303" t="s">
        <v>127</v>
      </c>
      <c r="Q303" t="s">
        <v>119</v>
      </c>
      <c r="R303" t="s">
        <v>30</v>
      </c>
      <c r="S303" t="s">
        <v>120</v>
      </c>
    </row>
    <row r="304" spans="1:19" x14ac:dyDescent="0.25">
      <c r="A304" t="s">
        <v>27</v>
      </c>
      <c r="B304" t="s">
        <v>27</v>
      </c>
      <c r="C304" t="s">
        <v>27</v>
      </c>
      <c r="D304" s="7">
        <v>45931</v>
      </c>
      <c r="E304" s="6">
        <v>-2400</v>
      </c>
      <c r="F304" t="s">
        <v>168</v>
      </c>
      <c r="G304" t="s">
        <v>169</v>
      </c>
      <c r="H304" t="s">
        <v>30</v>
      </c>
      <c r="I304" t="s">
        <v>145</v>
      </c>
      <c r="K304" t="s">
        <v>27</v>
      </c>
      <c r="L304" t="s">
        <v>27</v>
      </c>
      <c r="M304" t="s">
        <v>27</v>
      </c>
      <c r="N304" s="7">
        <v>45778</v>
      </c>
      <c r="O304" s="6">
        <v>-1308.9956880000004</v>
      </c>
      <c r="P304" t="s">
        <v>126</v>
      </c>
      <c r="Q304" t="s">
        <v>119</v>
      </c>
      <c r="R304" t="s">
        <v>30</v>
      </c>
      <c r="S304" t="s">
        <v>120</v>
      </c>
    </row>
    <row r="305" spans="1:19" x14ac:dyDescent="0.25">
      <c r="A305" t="s">
        <v>27</v>
      </c>
      <c r="B305" t="s">
        <v>27</v>
      </c>
      <c r="C305" t="s">
        <v>27</v>
      </c>
      <c r="D305" s="7">
        <v>45962</v>
      </c>
      <c r="E305" s="6">
        <v>-2400</v>
      </c>
      <c r="F305" t="s">
        <v>168</v>
      </c>
      <c r="G305" t="s">
        <v>169</v>
      </c>
      <c r="H305" t="s">
        <v>30</v>
      </c>
      <c r="I305" t="s">
        <v>145</v>
      </c>
      <c r="K305" t="s">
        <v>27</v>
      </c>
      <c r="L305" t="s">
        <v>27</v>
      </c>
      <c r="M305" t="s">
        <v>27</v>
      </c>
      <c r="N305" s="7">
        <v>45809</v>
      </c>
      <c r="O305" s="6">
        <v>-233.30736000000007</v>
      </c>
      <c r="P305" t="s">
        <v>128</v>
      </c>
      <c r="Q305" t="s">
        <v>119</v>
      </c>
      <c r="R305" t="s">
        <v>30</v>
      </c>
      <c r="S305" t="s">
        <v>120</v>
      </c>
    </row>
    <row r="306" spans="1:19" x14ac:dyDescent="0.25">
      <c r="A306" t="s">
        <v>27</v>
      </c>
      <c r="B306" t="s">
        <v>27</v>
      </c>
      <c r="C306" t="s">
        <v>27</v>
      </c>
      <c r="D306" s="7">
        <v>45992</v>
      </c>
      <c r="E306" s="6">
        <v>-2400</v>
      </c>
      <c r="F306" t="s">
        <v>168</v>
      </c>
      <c r="G306" t="s">
        <v>169</v>
      </c>
      <c r="H306" t="s">
        <v>30</v>
      </c>
      <c r="I306" t="s">
        <v>145</v>
      </c>
      <c r="K306" t="s">
        <v>27</v>
      </c>
      <c r="L306" t="s">
        <v>27</v>
      </c>
      <c r="M306" t="s">
        <v>27</v>
      </c>
      <c r="N306" s="7">
        <v>45839</v>
      </c>
      <c r="O306" s="6">
        <v>-1252.0828320000005</v>
      </c>
      <c r="P306" t="s">
        <v>129</v>
      </c>
      <c r="Q306" t="s">
        <v>119</v>
      </c>
      <c r="R306" t="s">
        <v>30</v>
      </c>
      <c r="S306" t="s">
        <v>120</v>
      </c>
    </row>
    <row r="307" spans="1:19" x14ac:dyDescent="0.25">
      <c r="A307" t="s">
        <v>27</v>
      </c>
      <c r="B307" t="s">
        <v>27</v>
      </c>
      <c r="C307" t="s">
        <v>27</v>
      </c>
      <c r="D307" s="7">
        <v>45658</v>
      </c>
      <c r="E307" s="6">
        <v>-1000</v>
      </c>
      <c r="F307" t="s">
        <v>170</v>
      </c>
      <c r="G307" t="s">
        <v>171</v>
      </c>
      <c r="H307" t="s">
        <v>30</v>
      </c>
      <c r="I307" t="s">
        <v>145</v>
      </c>
      <c r="K307" t="s">
        <v>27</v>
      </c>
      <c r="L307" t="s">
        <v>27</v>
      </c>
      <c r="M307" t="s">
        <v>27</v>
      </c>
      <c r="N307" s="7">
        <v>45839</v>
      </c>
      <c r="O307" s="6">
        <v>-424.19520000000006</v>
      </c>
      <c r="P307" t="s">
        <v>130</v>
      </c>
      <c r="Q307" t="s">
        <v>119</v>
      </c>
      <c r="R307" t="s">
        <v>30</v>
      </c>
      <c r="S307" t="s">
        <v>120</v>
      </c>
    </row>
    <row r="308" spans="1:19" x14ac:dyDescent="0.25">
      <c r="A308" t="s">
        <v>27</v>
      </c>
      <c r="B308" t="s">
        <v>27</v>
      </c>
      <c r="C308" t="s">
        <v>27</v>
      </c>
      <c r="D308" s="7">
        <v>45689</v>
      </c>
      <c r="E308" s="6">
        <v>-1000</v>
      </c>
      <c r="F308" t="s">
        <v>170</v>
      </c>
      <c r="G308" t="s">
        <v>171</v>
      </c>
      <c r="H308" t="s">
        <v>30</v>
      </c>
      <c r="I308" t="s">
        <v>145</v>
      </c>
      <c r="K308" t="s">
        <v>27</v>
      </c>
      <c r="L308" t="s">
        <v>27</v>
      </c>
      <c r="M308" t="s">
        <v>27</v>
      </c>
      <c r="N308" s="7">
        <v>45839</v>
      </c>
      <c r="O308" s="6">
        <v>-2276.51424</v>
      </c>
      <c r="P308" t="s">
        <v>129</v>
      </c>
      <c r="Q308" t="s">
        <v>119</v>
      </c>
      <c r="R308" t="s">
        <v>30</v>
      </c>
      <c r="S308" t="s">
        <v>120</v>
      </c>
    </row>
    <row r="309" spans="1:19" x14ac:dyDescent="0.25">
      <c r="A309" t="s">
        <v>27</v>
      </c>
      <c r="B309" t="s">
        <v>27</v>
      </c>
      <c r="C309" t="s">
        <v>27</v>
      </c>
      <c r="D309" s="7">
        <v>45717</v>
      </c>
      <c r="E309" s="6">
        <v>-1000</v>
      </c>
      <c r="F309" t="s">
        <v>170</v>
      </c>
      <c r="G309" t="s">
        <v>171</v>
      </c>
      <c r="H309" t="s">
        <v>30</v>
      </c>
      <c r="I309" t="s">
        <v>145</v>
      </c>
      <c r="K309" t="s">
        <v>27</v>
      </c>
      <c r="L309" t="s">
        <v>27</v>
      </c>
      <c r="M309" t="s">
        <v>27</v>
      </c>
      <c r="N309" s="7">
        <v>45870</v>
      </c>
      <c r="O309" s="6">
        <v>-378.59421600000019</v>
      </c>
      <c r="P309" t="s">
        <v>131</v>
      </c>
      <c r="Q309" t="s">
        <v>119</v>
      </c>
      <c r="R309" t="s">
        <v>30</v>
      </c>
      <c r="S309" t="s">
        <v>120</v>
      </c>
    </row>
    <row r="310" spans="1:19" x14ac:dyDescent="0.25">
      <c r="A310" t="s">
        <v>27</v>
      </c>
      <c r="B310" t="s">
        <v>27</v>
      </c>
      <c r="C310" t="s">
        <v>27</v>
      </c>
      <c r="D310" s="7">
        <v>45748</v>
      </c>
      <c r="E310" s="6">
        <v>-1000</v>
      </c>
      <c r="F310" t="s">
        <v>170</v>
      </c>
      <c r="G310" t="s">
        <v>171</v>
      </c>
      <c r="H310" t="s">
        <v>30</v>
      </c>
      <c r="I310" t="s">
        <v>145</v>
      </c>
      <c r="K310" t="s">
        <v>27</v>
      </c>
      <c r="L310" t="s">
        <v>27</v>
      </c>
      <c r="M310" t="s">
        <v>27</v>
      </c>
      <c r="N310" s="7">
        <v>45870</v>
      </c>
      <c r="O310" s="6">
        <v>-2031.7889592000008</v>
      </c>
      <c r="P310" t="s">
        <v>132</v>
      </c>
      <c r="Q310" t="s">
        <v>119</v>
      </c>
      <c r="R310" t="s">
        <v>30</v>
      </c>
      <c r="S310" t="s">
        <v>120</v>
      </c>
    </row>
    <row r="311" spans="1:19" x14ac:dyDescent="0.25">
      <c r="A311" t="s">
        <v>27</v>
      </c>
      <c r="B311" t="s">
        <v>27</v>
      </c>
      <c r="C311" t="s">
        <v>27</v>
      </c>
      <c r="D311" s="7">
        <v>45778</v>
      </c>
      <c r="E311" s="6">
        <v>-1000</v>
      </c>
      <c r="F311" t="s">
        <v>170</v>
      </c>
      <c r="G311" t="s">
        <v>171</v>
      </c>
      <c r="H311" t="s">
        <v>30</v>
      </c>
      <c r="I311" t="s">
        <v>145</v>
      </c>
      <c r="K311" t="s">
        <v>27</v>
      </c>
      <c r="L311" t="s">
        <v>27</v>
      </c>
      <c r="M311" t="s">
        <v>27</v>
      </c>
      <c r="N311" s="7">
        <v>45901</v>
      </c>
      <c r="O311" s="6">
        <v>-356.96026080000013</v>
      </c>
      <c r="P311" t="s">
        <v>133</v>
      </c>
      <c r="Q311" t="s">
        <v>119</v>
      </c>
      <c r="R311" t="s">
        <v>30</v>
      </c>
      <c r="S311" t="s">
        <v>120</v>
      </c>
    </row>
    <row r="312" spans="1:19" x14ac:dyDescent="0.25">
      <c r="A312" t="s">
        <v>27</v>
      </c>
      <c r="B312" t="s">
        <v>27</v>
      </c>
      <c r="C312" t="s">
        <v>27</v>
      </c>
      <c r="D312" s="7">
        <v>45809</v>
      </c>
      <c r="E312" s="6">
        <v>-1000</v>
      </c>
      <c r="F312" t="s">
        <v>170</v>
      </c>
      <c r="G312" t="s">
        <v>171</v>
      </c>
      <c r="H312" t="s">
        <v>30</v>
      </c>
      <c r="I312" t="s">
        <v>145</v>
      </c>
      <c r="K312" t="s">
        <v>27</v>
      </c>
      <c r="L312" t="s">
        <v>27</v>
      </c>
      <c r="M312" t="s">
        <v>27</v>
      </c>
      <c r="N312" s="7">
        <v>45931</v>
      </c>
      <c r="O312" s="6">
        <v>-1915.6867329600009</v>
      </c>
      <c r="P312" t="s">
        <v>134</v>
      </c>
      <c r="Q312" t="s">
        <v>119</v>
      </c>
      <c r="R312" t="s">
        <v>30</v>
      </c>
      <c r="S312" t="s">
        <v>120</v>
      </c>
    </row>
    <row r="313" spans="1:19" x14ac:dyDescent="0.25">
      <c r="A313" t="s">
        <v>27</v>
      </c>
      <c r="B313" t="s">
        <v>27</v>
      </c>
      <c r="C313" t="s">
        <v>27</v>
      </c>
      <c r="D313" s="7">
        <v>45839</v>
      </c>
      <c r="E313" s="6">
        <v>-1000</v>
      </c>
      <c r="F313" t="s">
        <v>170</v>
      </c>
      <c r="G313" t="s">
        <v>171</v>
      </c>
      <c r="H313" t="s">
        <v>30</v>
      </c>
      <c r="I313" t="s">
        <v>145</v>
      </c>
      <c r="K313" t="s">
        <v>27</v>
      </c>
      <c r="L313" t="s">
        <v>27</v>
      </c>
      <c r="M313" t="s">
        <v>27</v>
      </c>
      <c r="N313" s="7">
        <v>45931</v>
      </c>
      <c r="O313" s="6">
        <v>-335.32630560000013</v>
      </c>
      <c r="P313" t="s">
        <v>135</v>
      </c>
      <c r="Q313" t="s">
        <v>119</v>
      </c>
      <c r="R313" t="s">
        <v>30</v>
      </c>
      <c r="S313" t="s">
        <v>120</v>
      </c>
    </row>
    <row r="314" spans="1:19" x14ac:dyDescent="0.25">
      <c r="A314" t="s">
        <v>27</v>
      </c>
      <c r="B314" t="s">
        <v>27</v>
      </c>
      <c r="C314" t="s">
        <v>27</v>
      </c>
      <c r="D314" s="7">
        <v>45870</v>
      </c>
      <c r="E314" s="6">
        <v>-1000</v>
      </c>
      <c r="F314" t="s">
        <v>170</v>
      </c>
      <c r="G314" t="s">
        <v>171</v>
      </c>
      <c r="H314" t="s">
        <v>30</v>
      </c>
      <c r="I314" t="s">
        <v>145</v>
      </c>
      <c r="K314" t="s">
        <v>27</v>
      </c>
      <c r="L314" t="s">
        <v>27</v>
      </c>
      <c r="M314" t="s">
        <v>27</v>
      </c>
      <c r="N314" s="7">
        <v>45931</v>
      </c>
      <c r="O314" s="6">
        <v>-1799.5845067200005</v>
      </c>
      <c r="P314" t="s">
        <v>134</v>
      </c>
      <c r="Q314" t="s">
        <v>119</v>
      </c>
      <c r="R314" t="s">
        <v>30</v>
      </c>
      <c r="S314" t="s">
        <v>120</v>
      </c>
    </row>
    <row r="315" spans="1:19" x14ac:dyDescent="0.25">
      <c r="A315" t="s">
        <v>27</v>
      </c>
      <c r="B315" t="s">
        <v>27</v>
      </c>
      <c r="C315" t="s">
        <v>27</v>
      </c>
      <c r="D315" s="7">
        <v>45901</v>
      </c>
      <c r="E315" s="6">
        <v>-1000</v>
      </c>
      <c r="F315" t="s">
        <v>170</v>
      </c>
      <c r="G315" t="s">
        <v>171</v>
      </c>
      <c r="H315" t="s">
        <v>30</v>
      </c>
      <c r="I315" t="s">
        <v>145</v>
      </c>
      <c r="K315" t="s">
        <v>27</v>
      </c>
      <c r="L315" t="s">
        <v>27</v>
      </c>
      <c r="M315" t="s">
        <v>27</v>
      </c>
      <c r="N315" s="7">
        <v>45962</v>
      </c>
      <c r="O315" s="6">
        <v>-411.04514880000011</v>
      </c>
      <c r="P315" t="s">
        <v>136</v>
      </c>
      <c r="Q315" t="s">
        <v>119</v>
      </c>
      <c r="R315" t="s">
        <v>30</v>
      </c>
      <c r="S315" t="s">
        <v>120</v>
      </c>
    </row>
    <row r="316" spans="1:19" x14ac:dyDescent="0.25">
      <c r="A316" t="s">
        <v>27</v>
      </c>
      <c r="B316" t="s">
        <v>27</v>
      </c>
      <c r="C316" t="s">
        <v>27</v>
      </c>
      <c r="D316" s="7">
        <v>45931</v>
      </c>
      <c r="E316" s="6">
        <v>-1000</v>
      </c>
      <c r="F316" t="s">
        <v>170</v>
      </c>
      <c r="G316" t="s">
        <v>171</v>
      </c>
      <c r="H316" t="s">
        <v>30</v>
      </c>
      <c r="I316" t="s">
        <v>145</v>
      </c>
      <c r="K316" t="s">
        <v>27</v>
      </c>
      <c r="L316" t="s">
        <v>27</v>
      </c>
      <c r="M316" t="s">
        <v>27</v>
      </c>
      <c r="N316" s="7">
        <v>45992</v>
      </c>
      <c r="O316" s="6">
        <v>-2205.9422985600004</v>
      </c>
      <c r="P316" t="s">
        <v>137</v>
      </c>
      <c r="Q316" t="s">
        <v>119</v>
      </c>
      <c r="R316" t="s">
        <v>30</v>
      </c>
      <c r="S316" t="s">
        <v>120</v>
      </c>
    </row>
    <row r="317" spans="1:19" x14ac:dyDescent="0.25">
      <c r="A317" t="s">
        <v>27</v>
      </c>
      <c r="B317" t="s">
        <v>27</v>
      </c>
      <c r="C317" t="s">
        <v>27</v>
      </c>
      <c r="D317" s="7">
        <v>45962</v>
      </c>
      <c r="E317" s="6">
        <v>-1000</v>
      </c>
      <c r="F317" t="s">
        <v>170</v>
      </c>
      <c r="G317" t="s">
        <v>171</v>
      </c>
      <c r="H317" t="s">
        <v>30</v>
      </c>
      <c r="I317" t="s">
        <v>145</v>
      </c>
      <c r="K317" t="s">
        <v>27</v>
      </c>
      <c r="L317" t="s">
        <v>27</v>
      </c>
      <c r="M317" t="s">
        <v>27</v>
      </c>
      <c r="N317" s="7">
        <v>45992</v>
      </c>
      <c r="O317" s="6">
        <v>-540.84888000000012</v>
      </c>
      <c r="P317" t="s">
        <v>138</v>
      </c>
      <c r="Q317" t="s">
        <v>119</v>
      </c>
      <c r="R317" t="s">
        <v>30</v>
      </c>
      <c r="S317" t="s">
        <v>120</v>
      </c>
    </row>
    <row r="318" spans="1:19" x14ac:dyDescent="0.25">
      <c r="A318" t="s">
        <v>27</v>
      </c>
      <c r="B318" t="s">
        <v>27</v>
      </c>
      <c r="C318" t="s">
        <v>27</v>
      </c>
      <c r="D318" s="7">
        <v>45992</v>
      </c>
      <c r="E318" s="6">
        <v>-1000</v>
      </c>
      <c r="F318" t="s">
        <v>170</v>
      </c>
      <c r="G318" t="s">
        <v>171</v>
      </c>
      <c r="H318" t="s">
        <v>30</v>
      </c>
      <c r="I318" t="s">
        <v>145</v>
      </c>
      <c r="K318" t="s">
        <v>27</v>
      </c>
      <c r="L318" t="s">
        <v>27</v>
      </c>
      <c r="M318" t="s">
        <v>27</v>
      </c>
      <c r="N318" s="7">
        <v>45992</v>
      </c>
      <c r="O318" s="6">
        <v>-2902.5556560000005</v>
      </c>
      <c r="P318" t="s">
        <v>137</v>
      </c>
      <c r="Q318" t="s">
        <v>119</v>
      </c>
      <c r="R318" t="s">
        <v>30</v>
      </c>
      <c r="S318" t="s">
        <v>120</v>
      </c>
    </row>
    <row r="319" spans="1:19" x14ac:dyDescent="0.25">
      <c r="A319" t="s">
        <v>27</v>
      </c>
      <c r="B319" t="s">
        <v>27</v>
      </c>
      <c r="C319" t="s">
        <v>27</v>
      </c>
      <c r="D319" s="7">
        <v>45658</v>
      </c>
      <c r="E319" s="6">
        <v>-450</v>
      </c>
      <c r="F319" t="s">
        <v>172</v>
      </c>
      <c r="G319" t="s">
        <v>173</v>
      </c>
      <c r="H319" t="s">
        <v>30</v>
      </c>
      <c r="I319" t="s">
        <v>145</v>
      </c>
      <c r="K319" t="s">
        <v>27</v>
      </c>
      <c r="L319" t="s">
        <v>27</v>
      </c>
      <c r="M319" t="s">
        <v>27</v>
      </c>
      <c r="N319" s="7">
        <v>45689</v>
      </c>
      <c r="O319" s="6">
        <v>-4125</v>
      </c>
      <c r="P319" t="s">
        <v>198</v>
      </c>
      <c r="Q319" t="s">
        <v>140</v>
      </c>
      <c r="R319" t="s">
        <v>30</v>
      </c>
      <c r="S319" t="s">
        <v>120</v>
      </c>
    </row>
    <row r="320" spans="1:19" x14ac:dyDescent="0.25">
      <c r="A320" t="s">
        <v>27</v>
      </c>
      <c r="B320" t="s">
        <v>27</v>
      </c>
      <c r="C320" t="s">
        <v>27</v>
      </c>
      <c r="D320" s="7">
        <v>45689</v>
      </c>
      <c r="E320" s="6">
        <v>-450</v>
      </c>
      <c r="F320" t="s">
        <v>172</v>
      </c>
      <c r="G320" t="s">
        <v>173</v>
      </c>
      <c r="H320" t="s">
        <v>30</v>
      </c>
      <c r="I320" t="s">
        <v>145</v>
      </c>
      <c r="K320" t="s">
        <v>27</v>
      </c>
      <c r="L320" t="s">
        <v>27</v>
      </c>
      <c r="M320" t="s">
        <v>27</v>
      </c>
      <c r="N320" s="7">
        <v>45717</v>
      </c>
      <c r="O320" s="6">
        <v>-2970.0000000000005</v>
      </c>
      <c r="P320" t="s">
        <v>199</v>
      </c>
      <c r="Q320" t="s">
        <v>140</v>
      </c>
      <c r="R320" t="s">
        <v>30</v>
      </c>
      <c r="S320" t="s">
        <v>120</v>
      </c>
    </row>
    <row r="321" spans="1:19" x14ac:dyDescent="0.25">
      <c r="A321" t="s">
        <v>27</v>
      </c>
      <c r="B321" t="s">
        <v>27</v>
      </c>
      <c r="C321" t="s">
        <v>27</v>
      </c>
      <c r="D321" s="7">
        <v>45717</v>
      </c>
      <c r="E321" s="6">
        <v>-450</v>
      </c>
      <c r="F321" t="s">
        <v>172</v>
      </c>
      <c r="G321" t="s">
        <v>173</v>
      </c>
      <c r="H321" t="s">
        <v>30</v>
      </c>
      <c r="I321" t="s">
        <v>145</v>
      </c>
      <c r="K321" t="s">
        <v>27</v>
      </c>
      <c r="L321" t="s">
        <v>27</v>
      </c>
      <c r="M321" t="s">
        <v>27</v>
      </c>
      <c r="N321" s="7">
        <v>45748</v>
      </c>
      <c r="O321" s="6">
        <v>-4588.6500000000005</v>
      </c>
      <c r="P321" t="s">
        <v>200</v>
      </c>
      <c r="Q321" t="s">
        <v>140</v>
      </c>
      <c r="R321" t="s">
        <v>30</v>
      </c>
      <c r="S321" t="s">
        <v>120</v>
      </c>
    </row>
    <row r="322" spans="1:19" x14ac:dyDescent="0.25">
      <c r="A322" t="s">
        <v>27</v>
      </c>
      <c r="B322" t="s">
        <v>27</v>
      </c>
      <c r="C322" t="s">
        <v>27</v>
      </c>
      <c r="D322" s="7">
        <v>45748</v>
      </c>
      <c r="E322" s="6">
        <v>-450</v>
      </c>
      <c r="F322" t="s">
        <v>172</v>
      </c>
      <c r="G322" t="s">
        <v>173</v>
      </c>
      <c r="H322" t="s">
        <v>30</v>
      </c>
      <c r="I322" t="s">
        <v>145</v>
      </c>
      <c r="K322" t="s">
        <v>27</v>
      </c>
      <c r="L322" t="s">
        <v>27</v>
      </c>
      <c r="M322" t="s">
        <v>27</v>
      </c>
      <c r="N322" s="7">
        <v>45778</v>
      </c>
      <c r="O322" s="6">
        <v>-3229.0500000000006</v>
      </c>
      <c r="P322" t="s">
        <v>201</v>
      </c>
      <c r="Q322" t="s">
        <v>140</v>
      </c>
      <c r="R322" t="s">
        <v>30</v>
      </c>
      <c r="S322" t="s">
        <v>120</v>
      </c>
    </row>
    <row r="323" spans="1:19" x14ac:dyDescent="0.25">
      <c r="A323" t="s">
        <v>27</v>
      </c>
      <c r="B323" t="s">
        <v>27</v>
      </c>
      <c r="C323" t="s">
        <v>27</v>
      </c>
      <c r="D323" s="7">
        <v>45778</v>
      </c>
      <c r="E323" s="6">
        <v>-450</v>
      </c>
      <c r="F323" t="s">
        <v>172</v>
      </c>
      <c r="G323" t="s">
        <v>173</v>
      </c>
      <c r="H323" t="s">
        <v>30</v>
      </c>
      <c r="I323" t="s">
        <v>145</v>
      </c>
      <c r="K323" t="s">
        <v>27</v>
      </c>
      <c r="L323" t="s">
        <v>27</v>
      </c>
      <c r="M323" t="s">
        <v>27</v>
      </c>
      <c r="N323" s="7">
        <v>45809</v>
      </c>
      <c r="O323" s="6">
        <v>-4065.2040000000015</v>
      </c>
      <c r="P323" t="s">
        <v>202</v>
      </c>
      <c r="Q323" t="s">
        <v>140</v>
      </c>
      <c r="R323" t="s">
        <v>30</v>
      </c>
      <c r="S323" t="s">
        <v>120</v>
      </c>
    </row>
    <row r="324" spans="1:19" x14ac:dyDescent="0.25">
      <c r="A324" t="s">
        <v>27</v>
      </c>
      <c r="B324" t="s">
        <v>27</v>
      </c>
      <c r="C324" t="s">
        <v>27</v>
      </c>
      <c r="D324" s="7">
        <v>45809</v>
      </c>
      <c r="E324" s="6">
        <v>-450</v>
      </c>
      <c r="F324" t="s">
        <v>172</v>
      </c>
      <c r="G324" t="s">
        <v>173</v>
      </c>
      <c r="H324" t="s">
        <v>30</v>
      </c>
      <c r="I324" t="s">
        <v>145</v>
      </c>
      <c r="K324" t="s">
        <v>27</v>
      </c>
      <c r="L324" t="s">
        <v>27</v>
      </c>
      <c r="M324" t="s">
        <v>27</v>
      </c>
      <c r="N324" s="7">
        <v>45839</v>
      </c>
      <c r="O324" s="6">
        <v>-3888.4560000000015</v>
      </c>
      <c r="P324" t="s">
        <v>203</v>
      </c>
      <c r="Q324" t="s">
        <v>140</v>
      </c>
      <c r="R324" t="s">
        <v>30</v>
      </c>
      <c r="S324" t="s">
        <v>120</v>
      </c>
    </row>
    <row r="325" spans="1:19" x14ac:dyDescent="0.25">
      <c r="A325" t="s">
        <v>27</v>
      </c>
      <c r="B325" t="s">
        <v>27</v>
      </c>
      <c r="C325" t="s">
        <v>27</v>
      </c>
      <c r="D325" s="7">
        <v>45839</v>
      </c>
      <c r="E325" s="6">
        <v>-450</v>
      </c>
      <c r="F325" t="s">
        <v>172</v>
      </c>
      <c r="G325" t="s">
        <v>173</v>
      </c>
      <c r="H325" t="s">
        <v>30</v>
      </c>
      <c r="I325" t="s">
        <v>145</v>
      </c>
      <c r="K325" t="s">
        <v>27</v>
      </c>
      <c r="L325" t="s">
        <v>27</v>
      </c>
      <c r="M325" t="s">
        <v>27</v>
      </c>
      <c r="N325" s="7">
        <v>45870</v>
      </c>
      <c r="O325" s="6">
        <v>-7069.9200000000019</v>
      </c>
      <c r="P325" t="s">
        <v>204</v>
      </c>
      <c r="Q325" t="s">
        <v>140</v>
      </c>
      <c r="R325" t="s">
        <v>30</v>
      </c>
      <c r="S325" t="s">
        <v>120</v>
      </c>
    </row>
    <row r="326" spans="1:19" x14ac:dyDescent="0.25">
      <c r="A326" t="s">
        <v>27</v>
      </c>
      <c r="B326" t="s">
        <v>27</v>
      </c>
      <c r="C326" t="s">
        <v>27</v>
      </c>
      <c r="D326" s="7">
        <v>45870</v>
      </c>
      <c r="E326" s="6">
        <v>-450</v>
      </c>
      <c r="F326" t="s">
        <v>172</v>
      </c>
      <c r="G326" t="s">
        <v>173</v>
      </c>
      <c r="H326" t="s">
        <v>30</v>
      </c>
      <c r="I326" t="s">
        <v>145</v>
      </c>
      <c r="K326" t="s">
        <v>27</v>
      </c>
      <c r="L326" t="s">
        <v>27</v>
      </c>
      <c r="M326" t="s">
        <v>27</v>
      </c>
      <c r="N326" s="7">
        <v>45901</v>
      </c>
      <c r="O326" s="6">
        <v>-6309.9036000000024</v>
      </c>
      <c r="P326" t="s">
        <v>205</v>
      </c>
      <c r="Q326" t="s">
        <v>140</v>
      </c>
      <c r="R326" t="s">
        <v>30</v>
      </c>
      <c r="S326" t="s">
        <v>120</v>
      </c>
    </row>
    <row r="327" spans="1:19" x14ac:dyDescent="0.25">
      <c r="A327" t="s">
        <v>27</v>
      </c>
      <c r="B327" t="s">
        <v>27</v>
      </c>
      <c r="C327" t="s">
        <v>27</v>
      </c>
      <c r="D327" s="7">
        <v>45901</v>
      </c>
      <c r="E327" s="6">
        <v>-450</v>
      </c>
      <c r="F327" t="s">
        <v>172</v>
      </c>
      <c r="G327" t="s">
        <v>173</v>
      </c>
      <c r="H327" t="s">
        <v>30</v>
      </c>
      <c r="I327" t="s">
        <v>145</v>
      </c>
      <c r="K327" t="s">
        <v>27</v>
      </c>
      <c r="L327" t="s">
        <v>27</v>
      </c>
      <c r="M327" t="s">
        <v>27</v>
      </c>
      <c r="N327" s="7">
        <v>45931</v>
      </c>
      <c r="O327" s="6">
        <v>-5949.3376800000024</v>
      </c>
      <c r="P327" t="s">
        <v>206</v>
      </c>
      <c r="Q327" t="s">
        <v>140</v>
      </c>
      <c r="R327" t="s">
        <v>30</v>
      </c>
      <c r="S327" t="s">
        <v>120</v>
      </c>
    </row>
    <row r="328" spans="1:19" x14ac:dyDescent="0.25">
      <c r="A328" t="s">
        <v>27</v>
      </c>
      <c r="B328" t="s">
        <v>27</v>
      </c>
      <c r="C328" t="s">
        <v>27</v>
      </c>
      <c r="D328" s="7">
        <v>45931</v>
      </c>
      <c r="E328" s="6">
        <v>-450</v>
      </c>
      <c r="F328" t="s">
        <v>172</v>
      </c>
      <c r="G328" t="s">
        <v>173</v>
      </c>
      <c r="H328" t="s">
        <v>30</v>
      </c>
      <c r="I328" t="s">
        <v>145</v>
      </c>
      <c r="K328" t="s">
        <v>27</v>
      </c>
      <c r="L328" t="s">
        <v>27</v>
      </c>
      <c r="M328" t="s">
        <v>27</v>
      </c>
      <c r="N328" s="7">
        <v>45962</v>
      </c>
      <c r="O328" s="6">
        <v>-5588.7717600000024</v>
      </c>
      <c r="P328" t="s">
        <v>207</v>
      </c>
      <c r="Q328" t="s">
        <v>140</v>
      </c>
      <c r="R328" t="s">
        <v>30</v>
      </c>
      <c r="S328" t="s">
        <v>120</v>
      </c>
    </row>
    <row r="329" spans="1:19" x14ac:dyDescent="0.25">
      <c r="A329" t="s">
        <v>27</v>
      </c>
      <c r="B329" t="s">
        <v>27</v>
      </c>
      <c r="C329" t="s">
        <v>27</v>
      </c>
      <c r="D329" s="7">
        <v>45962</v>
      </c>
      <c r="E329" s="6">
        <v>-450</v>
      </c>
      <c r="F329" t="s">
        <v>172</v>
      </c>
      <c r="G329" t="s">
        <v>173</v>
      </c>
      <c r="H329" t="s">
        <v>30</v>
      </c>
      <c r="I329" t="s">
        <v>145</v>
      </c>
      <c r="K329" t="s">
        <v>27</v>
      </c>
      <c r="L329" t="s">
        <v>27</v>
      </c>
      <c r="M329" t="s">
        <v>27</v>
      </c>
      <c r="N329" s="7">
        <v>45992</v>
      </c>
      <c r="O329" s="6">
        <v>-6850.7524800000019</v>
      </c>
      <c r="P329" t="s">
        <v>208</v>
      </c>
      <c r="Q329" t="s">
        <v>140</v>
      </c>
      <c r="R329" t="s">
        <v>30</v>
      </c>
      <c r="S329" t="s">
        <v>120</v>
      </c>
    </row>
    <row r="330" spans="1:19" x14ac:dyDescent="0.25">
      <c r="A330" t="s">
        <v>27</v>
      </c>
      <c r="B330" t="s">
        <v>27</v>
      </c>
      <c r="C330" t="s">
        <v>27</v>
      </c>
      <c r="D330" s="7">
        <v>45992</v>
      </c>
      <c r="E330" s="6">
        <v>-450</v>
      </c>
      <c r="F330" t="s">
        <v>172</v>
      </c>
      <c r="G330" t="s">
        <v>173</v>
      </c>
      <c r="H330" t="s">
        <v>30</v>
      </c>
      <c r="I330" t="s">
        <v>145</v>
      </c>
      <c r="K330" t="s">
        <v>27</v>
      </c>
      <c r="L330" t="s">
        <v>27</v>
      </c>
      <c r="M330" t="s">
        <v>27</v>
      </c>
      <c r="N330" s="7">
        <v>46023</v>
      </c>
      <c r="O330" s="6">
        <v>-9014.1480000000029</v>
      </c>
      <c r="P330" t="s">
        <v>209</v>
      </c>
      <c r="Q330" t="s">
        <v>140</v>
      </c>
      <c r="R330" t="s">
        <v>30</v>
      </c>
      <c r="S330" t="s">
        <v>120</v>
      </c>
    </row>
    <row r="331" spans="1:19" x14ac:dyDescent="0.25">
      <c r="A331" t="s">
        <v>27</v>
      </c>
      <c r="B331" t="s">
        <v>27</v>
      </c>
      <c r="C331" t="s">
        <v>27</v>
      </c>
      <c r="D331" s="7">
        <v>45658</v>
      </c>
      <c r="E331" s="6">
        <v>-350</v>
      </c>
      <c r="F331" t="s">
        <v>174</v>
      </c>
      <c r="G331" t="s">
        <v>175</v>
      </c>
      <c r="H331" t="s">
        <v>30</v>
      </c>
      <c r="I331" t="s">
        <v>145</v>
      </c>
      <c r="K331" t="s">
        <v>27</v>
      </c>
      <c r="L331" t="s">
        <v>27</v>
      </c>
      <c r="M331" t="s">
        <v>27</v>
      </c>
      <c r="N331" s="7">
        <v>45689</v>
      </c>
      <c r="O331" s="6">
        <v>-5775.0000000000009</v>
      </c>
      <c r="P331" t="s">
        <v>210</v>
      </c>
      <c r="Q331" t="s">
        <v>142</v>
      </c>
      <c r="R331" t="s">
        <v>30</v>
      </c>
      <c r="S331" t="s">
        <v>120</v>
      </c>
    </row>
    <row r="332" spans="1:19" x14ac:dyDescent="0.25">
      <c r="A332" t="s">
        <v>27</v>
      </c>
      <c r="B332" t="s">
        <v>27</v>
      </c>
      <c r="C332" t="s">
        <v>27</v>
      </c>
      <c r="D332" s="7">
        <v>45689</v>
      </c>
      <c r="E332" s="6">
        <v>-350</v>
      </c>
      <c r="F332" t="s">
        <v>174</v>
      </c>
      <c r="G332" t="s">
        <v>175</v>
      </c>
      <c r="H332" t="s">
        <v>30</v>
      </c>
      <c r="I332" t="s">
        <v>145</v>
      </c>
      <c r="K332" t="s">
        <v>27</v>
      </c>
      <c r="L332" t="s">
        <v>27</v>
      </c>
      <c r="M332" t="s">
        <v>27</v>
      </c>
      <c r="N332" s="7">
        <v>45717</v>
      </c>
      <c r="O332" s="6">
        <v>-4158.0000000000009</v>
      </c>
      <c r="P332" t="s">
        <v>211</v>
      </c>
      <c r="Q332" t="s">
        <v>142</v>
      </c>
      <c r="R332" t="s">
        <v>30</v>
      </c>
      <c r="S332" t="s">
        <v>120</v>
      </c>
    </row>
    <row r="333" spans="1:19" x14ac:dyDescent="0.25">
      <c r="A333" t="s">
        <v>27</v>
      </c>
      <c r="B333" t="s">
        <v>27</v>
      </c>
      <c r="C333" t="s">
        <v>27</v>
      </c>
      <c r="D333" s="7">
        <v>45717</v>
      </c>
      <c r="E333" s="6">
        <v>-350</v>
      </c>
      <c r="F333" t="s">
        <v>174</v>
      </c>
      <c r="G333" t="s">
        <v>175</v>
      </c>
      <c r="H333" t="s">
        <v>30</v>
      </c>
      <c r="I333" t="s">
        <v>145</v>
      </c>
      <c r="K333" t="s">
        <v>27</v>
      </c>
      <c r="L333" t="s">
        <v>27</v>
      </c>
      <c r="M333" t="s">
        <v>27</v>
      </c>
      <c r="N333" s="7">
        <v>45748</v>
      </c>
      <c r="O333" s="6">
        <v>-6424.1100000000015</v>
      </c>
      <c r="P333" t="s">
        <v>212</v>
      </c>
      <c r="Q333" t="s">
        <v>142</v>
      </c>
      <c r="R333" t="s">
        <v>30</v>
      </c>
      <c r="S333" t="s">
        <v>120</v>
      </c>
    </row>
    <row r="334" spans="1:19" x14ac:dyDescent="0.25">
      <c r="A334" t="s">
        <v>27</v>
      </c>
      <c r="B334" t="s">
        <v>27</v>
      </c>
      <c r="C334" t="s">
        <v>27</v>
      </c>
      <c r="D334" s="7">
        <v>45748</v>
      </c>
      <c r="E334" s="6">
        <v>-350</v>
      </c>
      <c r="F334" t="s">
        <v>174</v>
      </c>
      <c r="G334" t="s">
        <v>175</v>
      </c>
      <c r="H334" t="s">
        <v>30</v>
      </c>
      <c r="I334" t="s">
        <v>145</v>
      </c>
      <c r="K334" t="s">
        <v>27</v>
      </c>
      <c r="L334" t="s">
        <v>27</v>
      </c>
      <c r="M334" t="s">
        <v>27</v>
      </c>
      <c r="N334" s="7">
        <v>45778</v>
      </c>
      <c r="O334" s="6">
        <v>-4520.670000000001</v>
      </c>
      <c r="P334" t="s">
        <v>213</v>
      </c>
      <c r="Q334" t="s">
        <v>142</v>
      </c>
      <c r="R334" t="s">
        <v>30</v>
      </c>
      <c r="S334" t="s">
        <v>120</v>
      </c>
    </row>
    <row r="335" spans="1:19" x14ac:dyDescent="0.25">
      <c r="A335" t="s">
        <v>27</v>
      </c>
      <c r="B335" t="s">
        <v>27</v>
      </c>
      <c r="C335" t="s">
        <v>27</v>
      </c>
      <c r="D335" s="7">
        <v>45778</v>
      </c>
      <c r="E335" s="6">
        <v>-350</v>
      </c>
      <c r="F335" t="s">
        <v>174</v>
      </c>
      <c r="G335" t="s">
        <v>175</v>
      </c>
      <c r="H335" t="s">
        <v>30</v>
      </c>
      <c r="I335" t="s">
        <v>145</v>
      </c>
      <c r="K335" t="s">
        <v>27</v>
      </c>
      <c r="L335" t="s">
        <v>27</v>
      </c>
      <c r="M335" t="s">
        <v>27</v>
      </c>
      <c r="N335" s="7">
        <v>45809</v>
      </c>
      <c r="O335" s="6">
        <v>-5691.2856000000029</v>
      </c>
      <c r="P335" t="s">
        <v>214</v>
      </c>
      <c r="Q335" t="s">
        <v>142</v>
      </c>
      <c r="R335" t="s">
        <v>30</v>
      </c>
      <c r="S335" t="s">
        <v>120</v>
      </c>
    </row>
    <row r="336" spans="1:19" x14ac:dyDescent="0.25">
      <c r="A336" t="s">
        <v>27</v>
      </c>
      <c r="B336" t="s">
        <v>27</v>
      </c>
      <c r="C336" t="s">
        <v>27</v>
      </c>
      <c r="D336" s="7">
        <v>45809</v>
      </c>
      <c r="E336" s="6">
        <v>-350</v>
      </c>
      <c r="F336" t="s">
        <v>174</v>
      </c>
      <c r="G336" t="s">
        <v>175</v>
      </c>
      <c r="H336" t="s">
        <v>30</v>
      </c>
      <c r="I336" t="s">
        <v>145</v>
      </c>
      <c r="K336" t="s">
        <v>27</v>
      </c>
      <c r="L336" t="s">
        <v>27</v>
      </c>
      <c r="M336" t="s">
        <v>27</v>
      </c>
      <c r="N336" s="7">
        <v>45839</v>
      </c>
      <c r="O336" s="6">
        <v>-5443.8384000000024</v>
      </c>
      <c r="P336" t="s">
        <v>215</v>
      </c>
      <c r="Q336" t="s">
        <v>142</v>
      </c>
      <c r="R336" t="s">
        <v>30</v>
      </c>
      <c r="S336" t="s">
        <v>120</v>
      </c>
    </row>
    <row r="337" spans="1:19" x14ac:dyDescent="0.25">
      <c r="A337" t="s">
        <v>27</v>
      </c>
      <c r="B337" t="s">
        <v>27</v>
      </c>
      <c r="C337" t="s">
        <v>27</v>
      </c>
      <c r="D337" s="7">
        <v>45839</v>
      </c>
      <c r="E337" s="6">
        <v>-350</v>
      </c>
      <c r="F337" t="s">
        <v>174</v>
      </c>
      <c r="G337" t="s">
        <v>175</v>
      </c>
      <c r="H337" t="s">
        <v>30</v>
      </c>
      <c r="I337" t="s">
        <v>145</v>
      </c>
      <c r="K337" t="s">
        <v>27</v>
      </c>
      <c r="L337" t="s">
        <v>27</v>
      </c>
      <c r="M337" t="s">
        <v>27</v>
      </c>
      <c r="N337" s="7">
        <v>45870</v>
      </c>
      <c r="O337" s="6">
        <v>-9897.8880000000026</v>
      </c>
      <c r="P337" t="s">
        <v>216</v>
      </c>
      <c r="Q337" t="s">
        <v>142</v>
      </c>
      <c r="R337" t="s">
        <v>30</v>
      </c>
      <c r="S337" t="s">
        <v>120</v>
      </c>
    </row>
    <row r="338" spans="1:19" x14ac:dyDescent="0.25">
      <c r="A338" t="s">
        <v>27</v>
      </c>
      <c r="B338" t="s">
        <v>27</v>
      </c>
      <c r="C338" t="s">
        <v>27</v>
      </c>
      <c r="D338" s="7">
        <v>45870</v>
      </c>
      <c r="E338" s="6">
        <v>-350</v>
      </c>
      <c r="F338" t="s">
        <v>174</v>
      </c>
      <c r="G338" t="s">
        <v>175</v>
      </c>
      <c r="H338" t="s">
        <v>30</v>
      </c>
      <c r="I338" t="s">
        <v>145</v>
      </c>
      <c r="K338" t="s">
        <v>27</v>
      </c>
      <c r="L338" t="s">
        <v>27</v>
      </c>
      <c r="M338" t="s">
        <v>27</v>
      </c>
      <c r="N338" s="7">
        <v>45901</v>
      </c>
      <c r="O338" s="6">
        <v>-8833.8650400000042</v>
      </c>
      <c r="P338" t="s">
        <v>217</v>
      </c>
      <c r="Q338" t="s">
        <v>142</v>
      </c>
      <c r="R338" t="s">
        <v>30</v>
      </c>
      <c r="S338" t="s">
        <v>120</v>
      </c>
    </row>
    <row r="339" spans="1:19" x14ac:dyDescent="0.25">
      <c r="A339" t="s">
        <v>27</v>
      </c>
      <c r="B339" t="s">
        <v>27</v>
      </c>
      <c r="C339" t="s">
        <v>27</v>
      </c>
      <c r="D339" s="7">
        <v>45901</v>
      </c>
      <c r="E339" s="6">
        <v>-350</v>
      </c>
      <c r="F339" t="s">
        <v>174</v>
      </c>
      <c r="G339" t="s">
        <v>175</v>
      </c>
      <c r="H339" t="s">
        <v>30</v>
      </c>
      <c r="I339" t="s">
        <v>145</v>
      </c>
      <c r="K339" t="s">
        <v>27</v>
      </c>
      <c r="L339" t="s">
        <v>27</v>
      </c>
      <c r="M339" t="s">
        <v>27</v>
      </c>
      <c r="N339" s="7">
        <v>45931</v>
      </c>
      <c r="O339" s="6">
        <v>-8329.0727520000037</v>
      </c>
      <c r="P339" t="s">
        <v>218</v>
      </c>
      <c r="Q339" t="s">
        <v>142</v>
      </c>
      <c r="R339" t="s">
        <v>30</v>
      </c>
      <c r="S339" t="s">
        <v>120</v>
      </c>
    </row>
    <row r="340" spans="1:19" x14ac:dyDescent="0.25">
      <c r="A340" t="s">
        <v>27</v>
      </c>
      <c r="B340" t="s">
        <v>27</v>
      </c>
      <c r="C340" t="s">
        <v>27</v>
      </c>
      <c r="D340" s="7">
        <v>45931</v>
      </c>
      <c r="E340" s="6">
        <v>-350</v>
      </c>
      <c r="F340" t="s">
        <v>174</v>
      </c>
      <c r="G340" t="s">
        <v>175</v>
      </c>
      <c r="H340" t="s">
        <v>30</v>
      </c>
      <c r="I340" t="s">
        <v>145</v>
      </c>
      <c r="K340" t="s">
        <v>27</v>
      </c>
      <c r="L340" t="s">
        <v>27</v>
      </c>
      <c r="M340" t="s">
        <v>27</v>
      </c>
      <c r="N340" s="7">
        <v>45962</v>
      </c>
      <c r="O340" s="6">
        <v>-7824.2804640000031</v>
      </c>
      <c r="P340" t="s">
        <v>219</v>
      </c>
      <c r="Q340" t="s">
        <v>142</v>
      </c>
      <c r="R340" t="s">
        <v>30</v>
      </c>
      <c r="S340" t="s">
        <v>120</v>
      </c>
    </row>
    <row r="341" spans="1:19" x14ac:dyDescent="0.25">
      <c r="A341" t="s">
        <v>27</v>
      </c>
      <c r="B341" t="s">
        <v>27</v>
      </c>
      <c r="C341" t="s">
        <v>27</v>
      </c>
      <c r="D341" s="7">
        <v>45962</v>
      </c>
      <c r="E341" s="6">
        <v>-350</v>
      </c>
      <c r="F341" t="s">
        <v>174</v>
      </c>
      <c r="G341" t="s">
        <v>175</v>
      </c>
      <c r="H341" t="s">
        <v>30</v>
      </c>
      <c r="I341" t="s">
        <v>145</v>
      </c>
      <c r="K341" t="s">
        <v>27</v>
      </c>
      <c r="L341" t="s">
        <v>27</v>
      </c>
      <c r="M341" t="s">
        <v>27</v>
      </c>
      <c r="N341" s="7">
        <v>45992</v>
      </c>
      <c r="O341" s="6">
        <v>-9591.0534720000032</v>
      </c>
      <c r="P341" t="s">
        <v>220</v>
      </c>
      <c r="Q341" t="s">
        <v>142</v>
      </c>
      <c r="R341" t="s">
        <v>30</v>
      </c>
      <c r="S341" t="s">
        <v>120</v>
      </c>
    </row>
    <row r="342" spans="1:19" x14ac:dyDescent="0.25">
      <c r="A342" t="s">
        <v>27</v>
      </c>
      <c r="B342" t="s">
        <v>27</v>
      </c>
      <c r="C342" t="s">
        <v>27</v>
      </c>
      <c r="D342" s="7">
        <v>45992</v>
      </c>
      <c r="E342" s="6">
        <v>-350</v>
      </c>
      <c r="F342" t="s">
        <v>174</v>
      </c>
      <c r="G342" t="s">
        <v>175</v>
      </c>
      <c r="H342" t="s">
        <v>30</v>
      </c>
      <c r="I342" t="s">
        <v>145</v>
      </c>
      <c r="K342" t="s">
        <v>27</v>
      </c>
      <c r="L342" t="s">
        <v>27</v>
      </c>
      <c r="M342" t="s">
        <v>27</v>
      </c>
      <c r="N342" s="7">
        <v>46023</v>
      </c>
      <c r="O342" s="6">
        <v>-12619.807200000005</v>
      </c>
      <c r="P342" t="s">
        <v>221</v>
      </c>
      <c r="Q342" t="s">
        <v>142</v>
      </c>
      <c r="R342" t="s">
        <v>30</v>
      </c>
      <c r="S342" t="s">
        <v>120</v>
      </c>
    </row>
    <row r="343" spans="1:19" x14ac:dyDescent="0.25">
      <c r="A343" t="s">
        <v>27</v>
      </c>
      <c r="B343" t="s">
        <v>27</v>
      </c>
      <c r="C343" t="s">
        <v>27</v>
      </c>
      <c r="D343" s="7">
        <v>45658</v>
      </c>
      <c r="E343" s="6">
        <v>-120</v>
      </c>
      <c r="F343" t="s">
        <v>176</v>
      </c>
      <c r="G343" t="s">
        <v>177</v>
      </c>
      <c r="H343" t="s">
        <v>30</v>
      </c>
      <c r="I343" t="s">
        <v>145</v>
      </c>
      <c r="K343" t="s">
        <v>27</v>
      </c>
      <c r="L343" t="s">
        <v>27</v>
      </c>
      <c r="M343" t="s">
        <v>27</v>
      </c>
      <c r="N343" s="7">
        <v>45658</v>
      </c>
      <c r="O343" s="6">
        <v>-15000</v>
      </c>
      <c r="P343" t="s">
        <v>222</v>
      </c>
      <c r="Q343" t="s">
        <v>144</v>
      </c>
      <c r="R343" t="s">
        <v>30</v>
      </c>
      <c r="S343" t="s">
        <v>145</v>
      </c>
    </row>
    <row r="344" spans="1:19" x14ac:dyDescent="0.25">
      <c r="A344" t="s">
        <v>27</v>
      </c>
      <c r="B344" t="s">
        <v>27</v>
      </c>
      <c r="C344" t="s">
        <v>27</v>
      </c>
      <c r="D344" s="7">
        <v>45689</v>
      </c>
      <c r="E344" s="6">
        <v>-120</v>
      </c>
      <c r="F344" t="s">
        <v>176</v>
      </c>
      <c r="G344" t="s">
        <v>177</v>
      </c>
      <c r="H344" t="s">
        <v>30</v>
      </c>
      <c r="I344" t="s">
        <v>145</v>
      </c>
      <c r="K344" t="s">
        <v>27</v>
      </c>
      <c r="L344" t="s">
        <v>27</v>
      </c>
      <c r="M344" t="s">
        <v>27</v>
      </c>
      <c r="N344" s="7">
        <v>45689</v>
      </c>
      <c r="O344" s="6">
        <v>-15000</v>
      </c>
      <c r="P344" t="s">
        <v>223</v>
      </c>
      <c r="Q344" t="s">
        <v>144</v>
      </c>
      <c r="R344" t="s">
        <v>30</v>
      </c>
      <c r="S344" t="s">
        <v>145</v>
      </c>
    </row>
    <row r="345" spans="1:19" x14ac:dyDescent="0.25">
      <c r="A345" t="s">
        <v>27</v>
      </c>
      <c r="B345" t="s">
        <v>27</v>
      </c>
      <c r="C345" t="s">
        <v>27</v>
      </c>
      <c r="D345" s="7">
        <v>45717</v>
      </c>
      <c r="E345" s="6">
        <v>-120</v>
      </c>
      <c r="F345" t="s">
        <v>176</v>
      </c>
      <c r="G345" t="s">
        <v>177</v>
      </c>
      <c r="H345" t="s">
        <v>30</v>
      </c>
      <c r="I345" t="s">
        <v>145</v>
      </c>
      <c r="K345" t="s">
        <v>27</v>
      </c>
      <c r="L345" t="s">
        <v>27</v>
      </c>
      <c r="M345" t="s">
        <v>27</v>
      </c>
      <c r="N345" s="7">
        <v>45717</v>
      </c>
      <c r="O345" s="6">
        <v>-15000</v>
      </c>
      <c r="P345" t="s">
        <v>224</v>
      </c>
      <c r="Q345" t="s">
        <v>144</v>
      </c>
      <c r="R345" t="s">
        <v>30</v>
      </c>
      <c r="S345" t="s">
        <v>145</v>
      </c>
    </row>
    <row r="346" spans="1:19" x14ac:dyDescent="0.25">
      <c r="A346" t="s">
        <v>27</v>
      </c>
      <c r="B346" t="s">
        <v>27</v>
      </c>
      <c r="C346" t="s">
        <v>27</v>
      </c>
      <c r="D346" s="7">
        <v>45748</v>
      </c>
      <c r="E346" s="6">
        <v>-120</v>
      </c>
      <c r="F346" t="s">
        <v>176</v>
      </c>
      <c r="G346" t="s">
        <v>177</v>
      </c>
      <c r="H346" t="s">
        <v>30</v>
      </c>
      <c r="I346" t="s">
        <v>145</v>
      </c>
      <c r="K346" t="s">
        <v>27</v>
      </c>
      <c r="L346" t="s">
        <v>27</v>
      </c>
      <c r="M346" t="s">
        <v>27</v>
      </c>
      <c r="N346" s="7">
        <v>45748</v>
      </c>
      <c r="O346" s="6">
        <v>-15000</v>
      </c>
      <c r="P346" t="s">
        <v>225</v>
      </c>
      <c r="Q346" t="s">
        <v>144</v>
      </c>
      <c r="R346" t="s">
        <v>30</v>
      </c>
      <c r="S346" t="s">
        <v>145</v>
      </c>
    </row>
    <row r="347" spans="1:19" x14ac:dyDescent="0.25">
      <c r="A347" t="s">
        <v>27</v>
      </c>
      <c r="B347" t="s">
        <v>27</v>
      </c>
      <c r="C347" t="s">
        <v>27</v>
      </c>
      <c r="D347" s="7">
        <v>45778</v>
      </c>
      <c r="E347" s="6">
        <v>-120</v>
      </c>
      <c r="F347" t="s">
        <v>176</v>
      </c>
      <c r="G347" t="s">
        <v>177</v>
      </c>
      <c r="H347" t="s">
        <v>30</v>
      </c>
      <c r="I347" t="s">
        <v>145</v>
      </c>
      <c r="K347" t="s">
        <v>27</v>
      </c>
      <c r="L347" t="s">
        <v>27</v>
      </c>
      <c r="M347" t="s">
        <v>27</v>
      </c>
      <c r="N347" s="7">
        <v>45778</v>
      </c>
      <c r="O347" s="6">
        <v>-15000</v>
      </c>
      <c r="P347" t="s">
        <v>226</v>
      </c>
      <c r="Q347" t="s">
        <v>144</v>
      </c>
      <c r="R347" t="s">
        <v>30</v>
      </c>
      <c r="S347" t="s">
        <v>145</v>
      </c>
    </row>
    <row r="348" spans="1:19" x14ac:dyDescent="0.25">
      <c r="A348" t="s">
        <v>27</v>
      </c>
      <c r="B348" t="s">
        <v>27</v>
      </c>
      <c r="C348" t="s">
        <v>27</v>
      </c>
      <c r="D348" s="7">
        <v>45809</v>
      </c>
      <c r="E348" s="6">
        <v>-120</v>
      </c>
      <c r="F348" t="s">
        <v>176</v>
      </c>
      <c r="G348" t="s">
        <v>177</v>
      </c>
      <c r="H348" t="s">
        <v>30</v>
      </c>
      <c r="I348" t="s">
        <v>145</v>
      </c>
      <c r="K348" t="s">
        <v>27</v>
      </c>
      <c r="L348" t="s">
        <v>27</v>
      </c>
      <c r="M348" t="s">
        <v>27</v>
      </c>
      <c r="N348" s="7">
        <v>45809</v>
      </c>
      <c r="O348" s="6">
        <v>-15000</v>
      </c>
      <c r="P348" t="s">
        <v>227</v>
      </c>
      <c r="Q348" t="s">
        <v>144</v>
      </c>
      <c r="R348" t="s">
        <v>30</v>
      </c>
      <c r="S348" t="s">
        <v>145</v>
      </c>
    </row>
    <row r="349" spans="1:19" x14ac:dyDescent="0.25">
      <c r="A349" t="s">
        <v>27</v>
      </c>
      <c r="B349" t="s">
        <v>27</v>
      </c>
      <c r="C349" t="s">
        <v>27</v>
      </c>
      <c r="D349" s="7">
        <v>45839</v>
      </c>
      <c r="E349" s="6">
        <v>-120</v>
      </c>
      <c r="F349" t="s">
        <v>176</v>
      </c>
      <c r="G349" t="s">
        <v>177</v>
      </c>
      <c r="H349" t="s">
        <v>30</v>
      </c>
      <c r="I349" t="s">
        <v>145</v>
      </c>
      <c r="K349" t="s">
        <v>27</v>
      </c>
      <c r="L349" t="s">
        <v>27</v>
      </c>
      <c r="M349" t="s">
        <v>27</v>
      </c>
      <c r="N349" s="7">
        <v>45839</v>
      </c>
      <c r="O349" s="6">
        <v>-15000</v>
      </c>
      <c r="P349" t="s">
        <v>228</v>
      </c>
      <c r="Q349" t="s">
        <v>144</v>
      </c>
      <c r="R349" t="s">
        <v>30</v>
      </c>
      <c r="S349" t="s">
        <v>145</v>
      </c>
    </row>
    <row r="350" spans="1:19" x14ac:dyDescent="0.25">
      <c r="A350" t="s">
        <v>27</v>
      </c>
      <c r="B350" t="s">
        <v>27</v>
      </c>
      <c r="C350" t="s">
        <v>27</v>
      </c>
      <c r="D350" s="7">
        <v>45870</v>
      </c>
      <c r="E350" s="6">
        <v>-120</v>
      </c>
      <c r="F350" t="s">
        <v>176</v>
      </c>
      <c r="G350" t="s">
        <v>177</v>
      </c>
      <c r="H350" t="s">
        <v>30</v>
      </c>
      <c r="I350" t="s">
        <v>145</v>
      </c>
      <c r="K350" t="s">
        <v>27</v>
      </c>
      <c r="L350" t="s">
        <v>27</v>
      </c>
      <c r="M350" t="s">
        <v>27</v>
      </c>
      <c r="N350" s="7">
        <v>45870</v>
      </c>
      <c r="O350" s="6">
        <v>-15000</v>
      </c>
      <c r="P350" t="s">
        <v>229</v>
      </c>
      <c r="Q350" t="s">
        <v>144</v>
      </c>
      <c r="R350" t="s">
        <v>30</v>
      </c>
      <c r="S350" t="s">
        <v>145</v>
      </c>
    </row>
    <row r="351" spans="1:19" x14ac:dyDescent="0.25">
      <c r="A351" t="s">
        <v>27</v>
      </c>
      <c r="B351" t="s">
        <v>27</v>
      </c>
      <c r="C351" t="s">
        <v>27</v>
      </c>
      <c r="D351" s="7">
        <v>45901</v>
      </c>
      <c r="E351" s="6">
        <v>-120</v>
      </c>
      <c r="F351" t="s">
        <v>176</v>
      </c>
      <c r="G351" t="s">
        <v>177</v>
      </c>
      <c r="H351" t="s">
        <v>30</v>
      </c>
      <c r="I351" t="s">
        <v>145</v>
      </c>
      <c r="K351" t="s">
        <v>27</v>
      </c>
      <c r="L351" t="s">
        <v>27</v>
      </c>
      <c r="M351" t="s">
        <v>27</v>
      </c>
      <c r="N351" s="7">
        <v>45901</v>
      </c>
      <c r="O351" s="6">
        <v>-15000</v>
      </c>
      <c r="P351" t="s">
        <v>230</v>
      </c>
      <c r="Q351" t="s">
        <v>144</v>
      </c>
      <c r="R351" t="s">
        <v>30</v>
      </c>
      <c r="S351" t="s">
        <v>145</v>
      </c>
    </row>
    <row r="352" spans="1:19" x14ac:dyDescent="0.25">
      <c r="A352" t="s">
        <v>27</v>
      </c>
      <c r="B352" t="s">
        <v>27</v>
      </c>
      <c r="C352" t="s">
        <v>27</v>
      </c>
      <c r="D352" s="7">
        <v>45931</v>
      </c>
      <c r="E352" s="6">
        <v>-120</v>
      </c>
      <c r="F352" t="s">
        <v>176</v>
      </c>
      <c r="G352" t="s">
        <v>177</v>
      </c>
      <c r="H352" t="s">
        <v>30</v>
      </c>
      <c r="I352" t="s">
        <v>145</v>
      </c>
      <c r="K352" t="s">
        <v>27</v>
      </c>
      <c r="L352" t="s">
        <v>27</v>
      </c>
      <c r="M352" t="s">
        <v>27</v>
      </c>
      <c r="N352" s="7">
        <v>45931</v>
      </c>
      <c r="O352" s="6">
        <v>-15000</v>
      </c>
      <c r="P352" t="s">
        <v>231</v>
      </c>
      <c r="Q352" t="s">
        <v>144</v>
      </c>
      <c r="R352" t="s">
        <v>30</v>
      </c>
      <c r="S352" t="s">
        <v>145</v>
      </c>
    </row>
    <row r="353" spans="1:19" x14ac:dyDescent="0.25">
      <c r="A353" t="s">
        <v>27</v>
      </c>
      <c r="B353" t="s">
        <v>27</v>
      </c>
      <c r="C353" t="s">
        <v>27</v>
      </c>
      <c r="D353" s="7">
        <v>45962</v>
      </c>
      <c r="E353" s="6">
        <v>-120</v>
      </c>
      <c r="F353" t="s">
        <v>176</v>
      </c>
      <c r="G353" t="s">
        <v>177</v>
      </c>
      <c r="H353" t="s">
        <v>30</v>
      </c>
      <c r="I353" t="s">
        <v>145</v>
      </c>
      <c r="K353" t="s">
        <v>27</v>
      </c>
      <c r="L353" t="s">
        <v>27</v>
      </c>
      <c r="M353" t="s">
        <v>27</v>
      </c>
      <c r="N353" s="7">
        <v>45962</v>
      </c>
      <c r="O353" s="6">
        <v>-15000</v>
      </c>
      <c r="P353" t="s">
        <v>232</v>
      </c>
      <c r="Q353" t="s">
        <v>144</v>
      </c>
      <c r="R353" t="s">
        <v>30</v>
      </c>
      <c r="S353" t="s">
        <v>145</v>
      </c>
    </row>
    <row r="354" spans="1:19" x14ac:dyDescent="0.25">
      <c r="A354" t="s">
        <v>27</v>
      </c>
      <c r="B354" t="s">
        <v>27</v>
      </c>
      <c r="C354" t="s">
        <v>27</v>
      </c>
      <c r="D354" s="7">
        <v>45992</v>
      </c>
      <c r="E354" s="6">
        <v>-120</v>
      </c>
      <c r="F354" t="s">
        <v>176</v>
      </c>
      <c r="G354" t="s">
        <v>177</v>
      </c>
      <c r="H354" t="s">
        <v>30</v>
      </c>
      <c r="I354" t="s">
        <v>145</v>
      </c>
      <c r="K354" t="s">
        <v>27</v>
      </c>
      <c r="L354" t="s">
        <v>27</v>
      </c>
      <c r="M354" t="s">
        <v>27</v>
      </c>
      <c r="N354" s="7">
        <v>45992</v>
      </c>
      <c r="O354" s="6">
        <v>-15000</v>
      </c>
      <c r="P354" t="s">
        <v>233</v>
      </c>
      <c r="Q354" t="s">
        <v>144</v>
      </c>
      <c r="R354" t="s">
        <v>30</v>
      </c>
      <c r="S354" t="s">
        <v>145</v>
      </c>
    </row>
    <row r="355" spans="1:19" x14ac:dyDescent="0.25">
      <c r="A355" t="s">
        <v>27</v>
      </c>
      <c r="B355" t="s">
        <v>27</v>
      </c>
      <c r="C355" t="s">
        <v>27</v>
      </c>
      <c r="D355" s="7">
        <v>45658</v>
      </c>
      <c r="E355" s="6">
        <v>-450</v>
      </c>
      <c r="F355" t="s">
        <v>178</v>
      </c>
      <c r="G355" t="s">
        <v>179</v>
      </c>
      <c r="H355" t="s">
        <v>30</v>
      </c>
      <c r="I355" t="s">
        <v>145</v>
      </c>
      <c r="K355" t="s">
        <v>27</v>
      </c>
      <c r="L355" t="s">
        <v>27</v>
      </c>
      <c r="M355" t="s">
        <v>27</v>
      </c>
      <c r="N355" s="7">
        <v>45658</v>
      </c>
      <c r="O355" s="6">
        <v>-15000</v>
      </c>
      <c r="P355" t="s">
        <v>222</v>
      </c>
      <c r="Q355" t="s">
        <v>144</v>
      </c>
      <c r="R355" t="s">
        <v>30</v>
      </c>
      <c r="S355" t="s">
        <v>145</v>
      </c>
    </row>
    <row r="356" spans="1:19" x14ac:dyDescent="0.25">
      <c r="A356" t="s">
        <v>27</v>
      </c>
      <c r="B356" t="s">
        <v>27</v>
      </c>
      <c r="C356" t="s">
        <v>27</v>
      </c>
      <c r="D356" s="7">
        <v>45689</v>
      </c>
      <c r="E356" s="6">
        <v>-450</v>
      </c>
      <c r="F356" t="s">
        <v>178</v>
      </c>
      <c r="G356" t="s">
        <v>179</v>
      </c>
      <c r="H356" t="s">
        <v>30</v>
      </c>
      <c r="I356" t="s">
        <v>145</v>
      </c>
      <c r="K356" t="s">
        <v>27</v>
      </c>
      <c r="L356" t="s">
        <v>27</v>
      </c>
      <c r="M356" t="s">
        <v>27</v>
      </c>
      <c r="N356" s="7">
        <v>45689</v>
      </c>
      <c r="O356" s="6">
        <v>-15000</v>
      </c>
      <c r="P356" t="s">
        <v>223</v>
      </c>
      <c r="Q356" t="s">
        <v>144</v>
      </c>
      <c r="R356" t="s">
        <v>30</v>
      </c>
      <c r="S356" t="s">
        <v>145</v>
      </c>
    </row>
    <row r="357" spans="1:19" x14ac:dyDescent="0.25">
      <c r="A357" t="s">
        <v>27</v>
      </c>
      <c r="B357" t="s">
        <v>27</v>
      </c>
      <c r="C357" t="s">
        <v>27</v>
      </c>
      <c r="D357" s="7">
        <v>45717</v>
      </c>
      <c r="E357" s="6">
        <v>-450</v>
      </c>
      <c r="F357" t="s">
        <v>178</v>
      </c>
      <c r="G357" t="s">
        <v>179</v>
      </c>
      <c r="H357" t="s">
        <v>30</v>
      </c>
      <c r="I357" t="s">
        <v>145</v>
      </c>
      <c r="K357" t="s">
        <v>27</v>
      </c>
      <c r="L357" t="s">
        <v>27</v>
      </c>
      <c r="M357" t="s">
        <v>27</v>
      </c>
      <c r="N357" s="7">
        <v>45717</v>
      </c>
      <c r="O357" s="6">
        <v>-15000</v>
      </c>
      <c r="P357" t="s">
        <v>224</v>
      </c>
      <c r="Q357" t="s">
        <v>144</v>
      </c>
      <c r="R357" t="s">
        <v>30</v>
      </c>
      <c r="S357" t="s">
        <v>145</v>
      </c>
    </row>
    <row r="358" spans="1:19" x14ac:dyDescent="0.25">
      <c r="A358" t="s">
        <v>27</v>
      </c>
      <c r="B358" t="s">
        <v>27</v>
      </c>
      <c r="C358" t="s">
        <v>27</v>
      </c>
      <c r="D358" s="7">
        <v>45748</v>
      </c>
      <c r="E358" s="6">
        <v>-450</v>
      </c>
      <c r="F358" t="s">
        <v>178</v>
      </c>
      <c r="G358" t="s">
        <v>179</v>
      </c>
      <c r="H358" t="s">
        <v>30</v>
      </c>
      <c r="I358" t="s">
        <v>145</v>
      </c>
      <c r="K358" t="s">
        <v>27</v>
      </c>
      <c r="L358" t="s">
        <v>27</v>
      </c>
      <c r="M358" t="s">
        <v>27</v>
      </c>
      <c r="N358" s="7">
        <v>45748</v>
      </c>
      <c r="O358" s="6">
        <v>-15000</v>
      </c>
      <c r="P358" t="s">
        <v>225</v>
      </c>
      <c r="Q358" t="s">
        <v>144</v>
      </c>
      <c r="R358" t="s">
        <v>30</v>
      </c>
      <c r="S358" t="s">
        <v>145</v>
      </c>
    </row>
    <row r="359" spans="1:19" x14ac:dyDescent="0.25">
      <c r="A359" t="s">
        <v>27</v>
      </c>
      <c r="B359" t="s">
        <v>27</v>
      </c>
      <c r="C359" t="s">
        <v>27</v>
      </c>
      <c r="D359" s="7">
        <v>45778</v>
      </c>
      <c r="E359" s="6">
        <v>-450</v>
      </c>
      <c r="F359" t="s">
        <v>178</v>
      </c>
      <c r="G359" t="s">
        <v>179</v>
      </c>
      <c r="H359" t="s">
        <v>30</v>
      </c>
      <c r="I359" t="s">
        <v>145</v>
      </c>
      <c r="K359" t="s">
        <v>27</v>
      </c>
      <c r="L359" t="s">
        <v>27</v>
      </c>
      <c r="M359" t="s">
        <v>27</v>
      </c>
      <c r="N359" s="7">
        <v>45778</v>
      </c>
      <c r="O359" s="6">
        <v>-15000</v>
      </c>
      <c r="P359" t="s">
        <v>226</v>
      </c>
      <c r="Q359" t="s">
        <v>144</v>
      </c>
      <c r="R359" t="s">
        <v>30</v>
      </c>
      <c r="S359" t="s">
        <v>145</v>
      </c>
    </row>
    <row r="360" spans="1:19" x14ac:dyDescent="0.25">
      <c r="A360" t="s">
        <v>27</v>
      </c>
      <c r="B360" t="s">
        <v>27</v>
      </c>
      <c r="C360" t="s">
        <v>27</v>
      </c>
      <c r="D360" s="7">
        <v>45809</v>
      </c>
      <c r="E360" s="6">
        <v>-450</v>
      </c>
      <c r="F360" t="s">
        <v>178</v>
      </c>
      <c r="G360" t="s">
        <v>179</v>
      </c>
      <c r="H360" t="s">
        <v>30</v>
      </c>
      <c r="I360" t="s">
        <v>145</v>
      </c>
      <c r="K360" t="s">
        <v>27</v>
      </c>
      <c r="L360" t="s">
        <v>27</v>
      </c>
      <c r="M360" t="s">
        <v>27</v>
      </c>
      <c r="N360" s="7">
        <v>45809</v>
      </c>
      <c r="O360" s="6">
        <v>-15000</v>
      </c>
      <c r="P360" t="s">
        <v>227</v>
      </c>
      <c r="Q360" t="s">
        <v>144</v>
      </c>
      <c r="R360" t="s">
        <v>30</v>
      </c>
      <c r="S360" t="s">
        <v>145</v>
      </c>
    </row>
    <row r="361" spans="1:19" x14ac:dyDescent="0.25">
      <c r="A361" t="s">
        <v>27</v>
      </c>
      <c r="B361" t="s">
        <v>27</v>
      </c>
      <c r="C361" t="s">
        <v>27</v>
      </c>
      <c r="D361" s="7">
        <v>45839</v>
      </c>
      <c r="E361" s="6">
        <v>-450</v>
      </c>
      <c r="F361" t="s">
        <v>178</v>
      </c>
      <c r="G361" t="s">
        <v>179</v>
      </c>
      <c r="H361" t="s">
        <v>30</v>
      </c>
      <c r="I361" t="s">
        <v>145</v>
      </c>
      <c r="K361" t="s">
        <v>27</v>
      </c>
      <c r="L361" t="s">
        <v>27</v>
      </c>
      <c r="M361" t="s">
        <v>27</v>
      </c>
      <c r="N361" s="7">
        <v>45839</v>
      </c>
      <c r="O361" s="6">
        <v>-15000</v>
      </c>
      <c r="P361" t="s">
        <v>228</v>
      </c>
      <c r="Q361" t="s">
        <v>144</v>
      </c>
      <c r="R361" t="s">
        <v>30</v>
      </c>
      <c r="S361" t="s">
        <v>145</v>
      </c>
    </row>
    <row r="362" spans="1:19" x14ac:dyDescent="0.25">
      <c r="A362" t="s">
        <v>27</v>
      </c>
      <c r="B362" t="s">
        <v>27</v>
      </c>
      <c r="C362" t="s">
        <v>27</v>
      </c>
      <c r="D362" s="7">
        <v>45870</v>
      </c>
      <c r="E362" s="6">
        <v>-450</v>
      </c>
      <c r="F362" t="s">
        <v>178</v>
      </c>
      <c r="G362" t="s">
        <v>179</v>
      </c>
      <c r="H362" t="s">
        <v>30</v>
      </c>
      <c r="I362" t="s">
        <v>145</v>
      </c>
      <c r="K362" t="s">
        <v>27</v>
      </c>
      <c r="L362" t="s">
        <v>27</v>
      </c>
      <c r="M362" t="s">
        <v>27</v>
      </c>
      <c r="N362" s="7">
        <v>45870</v>
      </c>
      <c r="O362" s="6">
        <v>-15000</v>
      </c>
      <c r="P362" t="s">
        <v>229</v>
      </c>
      <c r="Q362" t="s">
        <v>144</v>
      </c>
      <c r="R362" t="s">
        <v>30</v>
      </c>
      <c r="S362" t="s">
        <v>145</v>
      </c>
    </row>
    <row r="363" spans="1:19" x14ac:dyDescent="0.25">
      <c r="A363" t="s">
        <v>27</v>
      </c>
      <c r="B363" t="s">
        <v>27</v>
      </c>
      <c r="C363" t="s">
        <v>27</v>
      </c>
      <c r="D363" s="7">
        <v>45901</v>
      </c>
      <c r="E363" s="6">
        <v>-450</v>
      </c>
      <c r="F363" t="s">
        <v>178</v>
      </c>
      <c r="G363" t="s">
        <v>179</v>
      </c>
      <c r="H363" t="s">
        <v>30</v>
      </c>
      <c r="I363" t="s">
        <v>145</v>
      </c>
      <c r="K363" t="s">
        <v>27</v>
      </c>
      <c r="L363" t="s">
        <v>27</v>
      </c>
      <c r="M363" t="s">
        <v>27</v>
      </c>
      <c r="N363" s="7">
        <v>45901</v>
      </c>
      <c r="O363" s="6">
        <v>-15000</v>
      </c>
      <c r="P363" t="s">
        <v>230</v>
      </c>
      <c r="Q363" t="s">
        <v>144</v>
      </c>
      <c r="R363" t="s">
        <v>30</v>
      </c>
      <c r="S363" t="s">
        <v>145</v>
      </c>
    </row>
    <row r="364" spans="1:19" x14ac:dyDescent="0.25">
      <c r="A364" t="s">
        <v>27</v>
      </c>
      <c r="B364" t="s">
        <v>27</v>
      </c>
      <c r="C364" t="s">
        <v>27</v>
      </c>
      <c r="D364" s="7">
        <v>45931</v>
      </c>
      <c r="E364" s="6">
        <v>-450</v>
      </c>
      <c r="F364" t="s">
        <v>178</v>
      </c>
      <c r="G364" t="s">
        <v>179</v>
      </c>
      <c r="H364" t="s">
        <v>30</v>
      </c>
      <c r="I364" t="s">
        <v>145</v>
      </c>
      <c r="K364" t="s">
        <v>27</v>
      </c>
      <c r="L364" t="s">
        <v>27</v>
      </c>
      <c r="M364" t="s">
        <v>27</v>
      </c>
      <c r="N364" s="7">
        <v>45931</v>
      </c>
      <c r="O364" s="6">
        <v>-15000</v>
      </c>
      <c r="P364" t="s">
        <v>231</v>
      </c>
      <c r="Q364" t="s">
        <v>144</v>
      </c>
      <c r="R364" t="s">
        <v>30</v>
      </c>
      <c r="S364" t="s">
        <v>145</v>
      </c>
    </row>
    <row r="365" spans="1:19" x14ac:dyDescent="0.25">
      <c r="A365" t="s">
        <v>27</v>
      </c>
      <c r="B365" t="s">
        <v>27</v>
      </c>
      <c r="C365" t="s">
        <v>27</v>
      </c>
      <c r="D365" s="7">
        <v>45962</v>
      </c>
      <c r="E365" s="6">
        <v>-450</v>
      </c>
      <c r="F365" t="s">
        <v>178</v>
      </c>
      <c r="G365" t="s">
        <v>179</v>
      </c>
      <c r="H365" t="s">
        <v>30</v>
      </c>
      <c r="I365" t="s">
        <v>145</v>
      </c>
      <c r="K365" t="s">
        <v>27</v>
      </c>
      <c r="L365" t="s">
        <v>27</v>
      </c>
      <c r="M365" t="s">
        <v>27</v>
      </c>
      <c r="N365" s="7">
        <v>45962</v>
      </c>
      <c r="O365" s="6">
        <v>-15000</v>
      </c>
      <c r="P365" t="s">
        <v>232</v>
      </c>
      <c r="Q365" t="s">
        <v>144</v>
      </c>
      <c r="R365" t="s">
        <v>30</v>
      </c>
      <c r="S365" t="s">
        <v>145</v>
      </c>
    </row>
    <row r="366" spans="1:19" x14ac:dyDescent="0.25">
      <c r="A366" t="s">
        <v>27</v>
      </c>
      <c r="B366" t="s">
        <v>27</v>
      </c>
      <c r="C366" t="s">
        <v>27</v>
      </c>
      <c r="D366" s="7">
        <v>45992</v>
      </c>
      <c r="E366" s="6">
        <v>-450</v>
      </c>
      <c r="F366" t="s">
        <v>178</v>
      </c>
      <c r="G366" t="s">
        <v>179</v>
      </c>
      <c r="H366" t="s">
        <v>30</v>
      </c>
      <c r="I366" t="s">
        <v>145</v>
      </c>
      <c r="K366" t="s">
        <v>27</v>
      </c>
      <c r="L366" t="s">
        <v>27</v>
      </c>
      <c r="M366" t="s">
        <v>27</v>
      </c>
      <c r="N366" s="7">
        <v>45992</v>
      </c>
      <c r="O366" s="6">
        <v>-15000</v>
      </c>
      <c r="P366" t="s">
        <v>233</v>
      </c>
      <c r="Q366" t="s">
        <v>144</v>
      </c>
      <c r="R366" t="s">
        <v>30</v>
      </c>
      <c r="S366" t="s">
        <v>145</v>
      </c>
    </row>
    <row r="367" spans="1:19" x14ac:dyDescent="0.25">
      <c r="A367" t="s">
        <v>27</v>
      </c>
      <c r="B367" t="s">
        <v>27</v>
      </c>
      <c r="C367" t="s">
        <v>27</v>
      </c>
      <c r="D367" s="7">
        <v>45658</v>
      </c>
      <c r="E367" s="6">
        <v>-1000</v>
      </c>
      <c r="F367" t="s">
        <v>180</v>
      </c>
      <c r="G367" t="s">
        <v>181</v>
      </c>
      <c r="H367" t="s">
        <v>30</v>
      </c>
      <c r="I367" t="s">
        <v>145</v>
      </c>
      <c r="K367" t="s">
        <v>27</v>
      </c>
      <c r="L367" t="s">
        <v>27</v>
      </c>
      <c r="M367" t="s">
        <v>27</v>
      </c>
      <c r="N367" s="7">
        <v>45658</v>
      </c>
      <c r="O367" s="6">
        <v>-5400</v>
      </c>
      <c r="P367" t="s">
        <v>234</v>
      </c>
      <c r="Q367" t="s">
        <v>147</v>
      </c>
      <c r="R367" t="s">
        <v>30</v>
      </c>
      <c r="S367" t="s">
        <v>145</v>
      </c>
    </row>
    <row r="368" spans="1:19" x14ac:dyDescent="0.25">
      <c r="A368" t="s">
        <v>27</v>
      </c>
      <c r="B368" t="s">
        <v>27</v>
      </c>
      <c r="C368" t="s">
        <v>27</v>
      </c>
      <c r="D368" s="7">
        <v>45689</v>
      </c>
      <c r="E368" s="6">
        <v>-1000</v>
      </c>
      <c r="F368" t="s">
        <v>180</v>
      </c>
      <c r="G368" t="s">
        <v>181</v>
      </c>
      <c r="H368" t="s">
        <v>30</v>
      </c>
      <c r="I368" t="s">
        <v>145</v>
      </c>
      <c r="K368" t="s">
        <v>27</v>
      </c>
      <c r="L368" t="s">
        <v>27</v>
      </c>
      <c r="M368" t="s">
        <v>27</v>
      </c>
      <c r="N368" s="7">
        <v>45689</v>
      </c>
      <c r="O368" s="6">
        <v>-5400</v>
      </c>
      <c r="P368" t="s">
        <v>235</v>
      </c>
      <c r="Q368" t="s">
        <v>147</v>
      </c>
      <c r="R368" t="s">
        <v>30</v>
      </c>
      <c r="S368" t="s">
        <v>145</v>
      </c>
    </row>
    <row r="369" spans="1:19" x14ac:dyDescent="0.25">
      <c r="A369" t="s">
        <v>27</v>
      </c>
      <c r="B369" t="s">
        <v>27</v>
      </c>
      <c r="C369" t="s">
        <v>27</v>
      </c>
      <c r="D369" s="7">
        <v>45717</v>
      </c>
      <c r="E369" s="6">
        <v>-1000</v>
      </c>
      <c r="F369" t="s">
        <v>180</v>
      </c>
      <c r="G369" t="s">
        <v>181</v>
      </c>
      <c r="H369" t="s">
        <v>30</v>
      </c>
      <c r="I369" t="s">
        <v>145</v>
      </c>
      <c r="K369" t="s">
        <v>27</v>
      </c>
      <c r="L369" t="s">
        <v>27</v>
      </c>
      <c r="M369" t="s">
        <v>27</v>
      </c>
      <c r="N369" s="7">
        <v>45717</v>
      </c>
      <c r="O369" s="6">
        <v>-5400</v>
      </c>
      <c r="P369" t="s">
        <v>236</v>
      </c>
      <c r="Q369" t="s">
        <v>147</v>
      </c>
      <c r="R369" t="s">
        <v>30</v>
      </c>
      <c r="S369" t="s">
        <v>145</v>
      </c>
    </row>
    <row r="370" spans="1:19" x14ac:dyDescent="0.25">
      <c r="A370" t="s">
        <v>27</v>
      </c>
      <c r="B370" t="s">
        <v>27</v>
      </c>
      <c r="C370" t="s">
        <v>27</v>
      </c>
      <c r="D370" s="7">
        <v>45748</v>
      </c>
      <c r="E370" s="6">
        <v>-1000</v>
      </c>
      <c r="F370" t="s">
        <v>180</v>
      </c>
      <c r="G370" t="s">
        <v>181</v>
      </c>
      <c r="H370" t="s">
        <v>30</v>
      </c>
      <c r="I370" t="s">
        <v>145</v>
      </c>
      <c r="K370" t="s">
        <v>27</v>
      </c>
      <c r="L370" t="s">
        <v>27</v>
      </c>
      <c r="M370" t="s">
        <v>27</v>
      </c>
      <c r="N370" s="7">
        <v>45748</v>
      </c>
      <c r="O370" s="6">
        <v>-5400</v>
      </c>
      <c r="P370" t="s">
        <v>237</v>
      </c>
      <c r="Q370" t="s">
        <v>147</v>
      </c>
      <c r="R370" t="s">
        <v>30</v>
      </c>
      <c r="S370" t="s">
        <v>145</v>
      </c>
    </row>
    <row r="371" spans="1:19" x14ac:dyDescent="0.25">
      <c r="A371" t="s">
        <v>27</v>
      </c>
      <c r="B371" t="s">
        <v>27</v>
      </c>
      <c r="C371" t="s">
        <v>27</v>
      </c>
      <c r="D371" s="7">
        <v>45778</v>
      </c>
      <c r="E371" s="6">
        <v>-1000</v>
      </c>
      <c r="F371" t="s">
        <v>180</v>
      </c>
      <c r="G371" t="s">
        <v>181</v>
      </c>
      <c r="H371" t="s">
        <v>30</v>
      </c>
      <c r="I371" t="s">
        <v>145</v>
      </c>
      <c r="K371" t="s">
        <v>27</v>
      </c>
      <c r="L371" t="s">
        <v>27</v>
      </c>
      <c r="M371" t="s">
        <v>27</v>
      </c>
      <c r="N371" s="7">
        <v>45778</v>
      </c>
      <c r="O371" s="6">
        <v>-5400</v>
      </c>
      <c r="P371" t="s">
        <v>238</v>
      </c>
      <c r="Q371" t="s">
        <v>147</v>
      </c>
      <c r="R371" t="s">
        <v>30</v>
      </c>
      <c r="S371" t="s">
        <v>145</v>
      </c>
    </row>
    <row r="372" spans="1:19" x14ac:dyDescent="0.25">
      <c r="A372" t="s">
        <v>27</v>
      </c>
      <c r="B372" t="s">
        <v>27</v>
      </c>
      <c r="C372" t="s">
        <v>27</v>
      </c>
      <c r="D372" s="7">
        <v>45809</v>
      </c>
      <c r="E372" s="6">
        <v>-1000</v>
      </c>
      <c r="F372" t="s">
        <v>180</v>
      </c>
      <c r="G372" t="s">
        <v>181</v>
      </c>
      <c r="H372" t="s">
        <v>30</v>
      </c>
      <c r="I372" t="s">
        <v>145</v>
      </c>
      <c r="K372" t="s">
        <v>27</v>
      </c>
      <c r="L372" t="s">
        <v>27</v>
      </c>
      <c r="M372" t="s">
        <v>27</v>
      </c>
      <c r="N372" s="7">
        <v>45809</v>
      </c>
      <c r="O372" s="6">
        <v>-5400</v>
      </c>
      <c r="P372" t="s">
        <v>239</v>
      </c>
      <c r="Q372" t="s">
        <v>147</v>
      </c>
      <c r="R372" t="s">
        <v>30</v>
      </c>
      <c r="S372" t="s">
        <v>145</v>
      </c>
    </row>
    <row r="373" spans="1:19" x14ac:dyDescent="0.25">
      <c r="A373" t="s">
        <v>27</v>
      </c>
      <c r="B373" t="s">
        <v>27</v>
      </c>
      <c r="C373" t="s">
        <v>27</v>
      </c>
      <c r="D373" s="7">
        <v>45839</v>
      </c>
      <c r="E373" s="6">
        <v>-1000</v>
      </c>
      <c r="F373" t="s">
        <v>180</v>
      </c>
      <c r="G373" t="s">
        <v>181</v>
      </c>
      <c r="H373" t="s">
        <v>30</v>
      </c>
      <c r="I373" t="s">
        <v>145</v>
      </c>
      <c r="K373" t="s">
        <v>27</v>
      </c>
      <c r="L373" t="s">
        <v>27</v>
      </c>
      <c r="M373" t="s">
        <v>27</v>
      </c>
      <c r="N373" s="7">
        <v>45839</v>
      </c>
      <c r="O373" s="6">
        <v>-5400</v>
      </c>
      <c r="P373" t="s">
        <v>240</v>
      </c>
      <c r="Q373" t="s">
        <v>147</v>
      </c>
      <c r="R373" t="s">
        <v>30</v>
      </c>
      <c r="S373" t="s">
        <v>145</v>
      </c>
    </row>
    <row r="374" spans="1:19" x14ac:dyDescent="0.25">
      <c r="A374" t="s">
        <v>27</v>
      </c>
      <c r="B374" t="s">
        <v>27</v>
      </c>
      <c r="C374" t="s">
        <v>27</v>
      </c>
      <c r="D374" s="7">
        <v>45870</v>
      </c>
      <c r="E374" s="6">
        <v>-1000</v>
      </c>
      <c r="F374" t="s">
        <v>180</v>
      </c>
      <c r="G374" t="s">
        <v>181</v>
      </c>
      <c r="H374" t="s">
        <v>30</v>
      </c>
      <c r="I374" t="s">
        <v>145</v>
      </c>
      <c r="K374" t="s">
        <v>27</v>
      </c>
      <c r="L374" t="s">
        <v>27</v>
      </c>
      <c r="M374" t="s">
        <v>27</v>
      </c>
      <c r="N374" s="7">
        <v>45870</v>
      </c>
      <c r="O374" s="6">
        <v>-5400</v>
      </c>
      <c r="P374" t="s">
        <v>241</v>
      </c>
      <c r="Q374" t="s">
        <v>147</v>
      </c>
      <c r="R374" t="s">
        <v>30</v>
      </c>
      <c r="S374" t="s">
        <v>145</v>
      </c>
    </row>
    <row r="375" spans="1:19" x14ac:dyDescent="0.25">
      <c r="A375" t="s">
        <v>27</v>
      </c>
      <c r="B375" t="s">
        <v>27</v>
      </c>
      <c r="C375" t="s">
        <v>27</v>
      </c>
      <c r="D375" s="7">
        <v>45901</v>
      </c>
      <c r="E375" s="6">
        <v>-1000</v>
      </c>
      <c r="F375" t="s">
        <v>180</v>
      </c>
      <c r="G375" t="s">
        <v>181</v>
      </c>
      <c r="H375" t="s">
        <v>30</v>
      </c>
      <c r="I375" t="s">
        <v>145</v>
      </c>
      <c r="K375" t="s">
        <v>27</v>
      </c>
      <c r="L375" t="s">
        <v>27</v>
      </c>
      <c r="M375" t="s">
        <v>27</v>
      </c>
      <c r="N375" s="7">
        <v>45901</v>
      </c>
      <c r="O375" s="6">
        <v>-5400</v>
      </c>
      <c r="P375" t="s">
        <v>242</v>
      </c>
      <c r="Q375" t="s">
        <v>147</v>
      </c>
      <c r="R375" t="s">
        <v>30</v>
      </c>
      <c r="S375" t="s">
        <v>145</v>
      </c>
    </row>
    <row r="376" spans="1:19" x14ac:dyDescent="0.25">
      <c r="A376" t="s">
        <v>27</v>
      </c>
      <c r="B376" t="s">
        <v>27</v>
      </c>
      <c r="C376" t="s">
        <v>27</v>
      </c>
      <c r="D376" s="7">
        <v>45931</v>
      </c>
      <c r="E376" s="6">
        <v>-1000</v>
      </c>
      <c r="F376" t="s">
        <v>180</v>
      </c>
      <c r="G376" t="s">
        <v>181</v>
      </c>
      <c r="H376" t="s">
        <v>30</v>
      </c>
      <c r="I376" t="s">
        <v>145</v>
      </c>
      <c r="K376" t="s">
        <v>27</v>
      </c>
      <c r="L376" t="s">
        <v>27</v>
      </c>
      <c r="M376" t="s">
        <v>27</v>
      </c>
      <c r="N376" s="7">
        <v>45931</v>
      </c>
      <c r="O376" s="6">
        <v>-5400</v>
      </c>
      <c r="P376" t="s">
        <v>243</v>
      </c>
      <c r="Q376" t="s">
        <v>147</v>
      </c>
      <c r="R376" t="s">
        <v>30</v>
      </c>
      <c r="S376" t="s">
        <v>145</v>
      </c>
    </row>
    <row r="377" spans="1:19" x14ac:dyDescent="0.25">
      <c r="A377" t="s">
        <v>27</v>
      </c>
      <c r="B377" t="s">
        <v>27</v>
      </c>
      <c r="C377" t="s">
        <v>27</v>
      </c>
      <c r="D377" s="7">
        <v>45962</v>
      </c>
      <c r="E377" s="6">
        <v>-1000</v>
      </c>
      <c r="F377" t="s">
        <v>180</v>
      </c>
      <c r="G377" t="s">
        <v>181</v>
      </c>
      <c r="H377" t="s">
        <v>30</v>
      </c>
      <c r="I377" t="s">
        <v>145</v>
      </c>
      <c r="K377" t="s">
        <v>27</v>
      </c>
      <c r="L377" t="s">
        <v>27</v>
      </c>
      <c r="M377" t="s">
        <v>27</v>
      </c>
      <c r="N377" s="7">
        <v>45962</v>
      </c>
      <c r="O377" s="6">
        <v>-5400</v>
      </c>
      <c r="P377" t="s">
        <v>244</v>
      </c>
      <c r="Q377" t="s">
        <v>147</v>
      </c>
      <c r="R377" t="s">
        <v>30</v>
      </c>
      <c r="S377" t="s">
        <v>145</v>
      </c>
    </row>
    <row r="378" spans="1:19" x14ac:dyDescent="0.25">
      <c r="A378" t="s">
        <v>27</v>
      </c>
      <c r="B378" t="s">
        <v>27</v>
      </c>
      <c r="C378" t="s">
        <v>27</v>
      </c>
      <c r="D378" s="7">
        <v>45992</v>
      </c>
      <c r="E378" s="6">
        <v>-1000</v>
      </c>
      <c r="F378" t="s">
        <v>180</v>
      </c>
      <c r="G378" t="s">
        <v>181</v>
      </c>
      <c r="H378" t="s">
        <v>30</v>
      </c>
      <c r="I378" t="s">
        <v>145</v>
      </c>
      <c r="K378" t="s">
        <v>27</v>
      </c>
      <c r="L378" t="s">
        <v>27</v>
      </c>
      <c r="M378" t="s">
        <v>27</v>
      </c>
      <c r="N378" s="7">
        <v>45992</v>
      </c>
      <c r="O378" s="6">
        <v>-5400</v>
      </c>
      <c r="P378" t="s">
        <v>245</v>
      </c>
      <c r="Q378" t="s">
        <v>147</v>
      </c>
      <c r="R378" t="s">
        <v>30</v>
      </c>
      <c r="S378" t="s">
        <v>145</v>
      </c>
    </row>
    <row r="379" spans="1:19" x14ac:dyDescent="0.25">
      <c r="A379" t="s">
        <v>27</v>
      </c>
      <c r="B379" t="s">
        <v>27</v>
      </c>
      <c r="C379" t="s">
        <v>27</v>
      </c>
      <c r="D379" s="7">
        <v>45658</v>
      </c>
      <c r="E379" s="6">
        <v>-8000</v>
      </c>
      <c r="F379" t="s">
        <v>182</v>
      </c>
      <c r="G379" t="s">
        <v>183</v>
      </c>
      <c r="H379" t="s">
        <v>30</v>
      </c>
      <c r="I379" t="s">
        <v>145</v>
      </c>
      <c r="K379" t="s">
        <v>27</v>
      </c>
      <c r="L379" t="s">
        <v>27</v>
      </c>
      <c r="M379" t="s">
        <v>27</v>
      </c>
      <c r="N379" s="7">
        <v>45658</v>
      </c>
      <c r="O379" s="6">
        <v>-3000</v>
      </c>
      <c r="P379" t="s">
        <v>246</v>
      </c>
      <c r="Q379" t="s">
        <v>149</v>
      </c>
      <c r="R379" t="s">
        <v>30</v>
      </c>
      <c r="S379" t="s">
        <v>145</v>
      </c>
    </row>
    <row r="380" spans="1:19" x14ac:dyDescent="0.25">
      <c r="A380" t="s">
        <v>27</v>
      </c>
      <c r="B380" t="s">
        <v>27</v>
      </c>
      <c r="C380" t="s">
        <v>27</v>
      </c>
      <c r="D380" s="7">
        <v>45689</v>
      </c>
      <c r="E380" s="6">
        <v>-8000</v>
      </c>
      <c r="F380" t="s">
        <v>182</v>
      </c>
      <c r="G380" t="s">
        <v>183</v>
      </c>
      <c r="H380" t="s">
        <v>30</v>
      </c>
      <c r="I380" t="s">
        <v>145</v>
      </c>
      <c r="K380" t="s">
        <v>27</v>
      </c>
      <c r="L380" t="s">
        <v>27</v>
      </c>
      <c r="M380" t="s">
        <v>27</v>
      </c>
      <c r="N380" s="7">
        <v>45689</v>
      </c>
      <c r="O380" s="6">
        <v>-3000</v>
      </c>
      <c r="P380" t="s">
        <v>247</v>
      </c>
      <c r="Q380" t="s">
        <v>149</v>
      </c>
      <c r="R380" t="s">
        <v>30</v>
      </c>
      <c r="S380" t="s">
        <v>145</v>
      </c>
    </row>
    <row r="381" spans="1:19" x14ac:dyDescent="0.25">
      <c r="A381" t="s">
        <v>27</v>
      </c>
      <c r="B381" t="s">
        <v>27</v>
      </c>
      <c r="C381" t="s">
        <v>27</v>
      </c>
      <c r="D381" s="7">
        <v>45717</v>
      </c>
      <c r="E381" s="6">
        <v>-8000</v>
      </c>
      <c r="F381" t="s">
        <v>182</v>
      </c>
      <c r="G381" t="s">
        <v>183</v>
      </c>
      <c r="H381" t="s">
        <v>30</v>
      </c>
      <c r="I381" t="s">
        <v>145</v>
      </c>
      <c r="K381" t="s">
        <v>27</v>
      </c>
      <c r="L381" t="s">
        <v>27</v>
      </c>
      <c r="M381" t="s">
        <v>27</v>
      </c>
      <c r="N381" s="7">
        <v>45717</v>
      </c>
      <c r="O381" s="6">
        <v>-3000</v>
      </c>
      <c r="P381" t="s">
        <v>248</v>
      </c>
      <c r="Q381" t="s">
        <v>149</v>
      </c>
      <c r="R381" t="s">
        <v>30</v>
      </c>
      <c r="S381" t="s">
        <v>145</v>
      </c>
    </row>
    <row r="382" spans="1:19" x14ac:dyDescent="0.25">
      <c r="A382" t="s">
        <v>27</v>
      </c>
      <c r="B382" t="s">
        <v>27</v>
      </c>
      <c r="C382" t="s">
        <v>27</v>
      </c>
      <c r="D382" s="7">
        <v>45748</v>
      </c>
      <c r="E382" s="6">
        <v>-8000</v>
      </c>
      <c r="F382" t="s">
        <v>182</v>
      </c>
      <c r="G382" t="s">
        <v>183</v>
      </c>
      <c r="H382" t="s">
        <v>30</v>
      </c>
      <c r="I382" t="s">
        <v>145</v>
      </c>
      <c r="K382" t="s">
        <v>27</v>
      </c>
      <c r="L382" t="s">
        <v>27</v>
      </c>
      <c r="M382" t="s">
        <v>27</v>
      </c>
      <c r="N382" s="7">
        <v>45748</v>
      </c>
      <c r="O382" s="6">
        <v>-3000</v>
      </c>
      <c r="P382" t="s">
        <v>249</v>
      </c>
      <c r="Q382" t="s">
        <v>149</v>
      </c>
      <c r="R382" t="s">
        <v>30</v>
      </c>
      <c r="S382" t="s">
        <v>145</v>
      </c>
    </row>
    <row r="383" spans="1:19" x14ac:dyDescent="0.25">
      <c r="A383" t="s">
        <v>27</v>
      </c>
      <c r="B383" t="s">
        <v>27</v>
      </c>
      <c r="C383" t="s">
        <v>27</v>
      </c>
      <c r="D383" s="7">
        <v>45778</v>
      </c>
      <c r="E383" s="6">
        <v>-8000</v>
      </c>
      <c r="F383" t="s">
        <v>182</v>
      </c>
      <c r="G383" t="s">
        <v>183</v>
      </c>
      <c r="H383" t="s">
        <v>30</v>
      </c>
      <c r="I383" t="s">
        <v>145</v>
      </c>
      <c r="K383" t="s">
        <v>27</v>
      </c>
      <c r="L383" t="s">
        <v>27</v>
      </c>
      <c r="M383" t="s">
        <v>27</v>
      </c>
      <c r="N383" s="7">
        <v>45778</v>
      </c>
      <c r="O383" s="6">
        <v>-3000</v>
      </c>
      <c r="P383" t="s">
        <v>250</v>
      </c>
      <c r="Q383" t="s">
        <v>149</v>
      </c>
      <c r="R383" t="s">
        <v>30</v>
      </c>
      <c r="S383" t="s">
        <v>145</v>
      </c>
    </row>
    <row r="384" spans="1:19" x14ac:dyDescent="0.25">
      <c r="A384" t="s">
        <v>27</v>
      </c>
      <c r="B384" t="s">
        <v>27</v>
      </c>
      <c r="C384" t="s">
        <v>27</v>
      </c>
      <c r="D384" s="7">
        <v>45809</v>
      </c>
      <c r="E384" s="6">
        <v>-8000</v>
      </c>
      <c r="F384" t="s">
        <v>182</v>
      </c>
      <c r="G384" t="s">
        <v>183</v>
      </c>
      <c r="H384" t="s">
        <v>30</v>
      </c>
      <c r="I384" t="s">
        <v>145</v>
      </c>
      <c r="K384" t="s">
        <v>27</v>
      </c>
      <c r="L384" t="s">
        <v>27</v>
      </c>
      <c r="M384" t="s">
        <v>27</v>
      </c>
      <c r="N384" s="7">
        <v>45809</v>
      </c>
      <c r="O384" s="6">
        <v>-3000</v>
      </c>
      <c r="P384" t="s">
        <v>251</v>
      </c>
      <c r="Q384" t="s">
        <v>149</v>
      </c>
      <c r="R384" t="s">
        <v>30</v>
      </c>
      <c r="S384" t="s">
        <v>145</v>
      </c>
    </row>
    <row r="385" spans="1:19" x14ac:dyDescent="0.25">
      <c r="A385" t="s">
        <v>27</v>
      </c>
      <c r="B385" t="s">
        <v>27</v>
      </c>
      <c r="C385" t="s">
        <v>27</v>
      </c>
      <c r="D385" s="7">
        <v>45839</v>
      </c>
      <c r="E385" s="6">
        <v>-8000</v>
      </c>
      <c r="F385" t="s">
        <v>182</v>
      </c>
      <c r="G385" t="s">
        <v>183</v>
      </c>
      <c r="H385" t="s">
        <v>30</v>
      </c>
      <c r="I385" t="s">
        <v>145</v>
      </c>
      <c r="K385" t="s">
        <v>27</v>
      </c>
      <c r="L385" t="s">
        <v>27</v>
      </c>
      <c r="M385" t="s">
        <v>27</v>
      </c>
      <c r="N385" s="7">
        <v>45839</v>
      </c>
      <c r="O385" s="6">
        <v>-3000</v>
      </c>
      <c r="P385" t="s">
        <v>252</v>
      </c>
      <c r="Q385" t="s">
        <v>149</v>
      </c>
      <c r="R385" t="s">
        <v>30</v>
      </c>
      <c r="S385" t="s">
        <v>145</v>
      </c>
    </row>
    <row r="386" spans="1:19" x14ac:dyDescent="0.25">
      <c r="A386" t="s">
        <v>27</v>
      </c>
      <c r="B386" t="s">
        <v>27</v>
      </c>
      <c r="C386" t="s">
        <v>27</v>
      </c>
      <c r="D386" s="7">
        <v>45870</v>
      </c>
      <c r="E386" s="6">
        <v>-8000</v>
      </c>
      <c r="F386" t="s">
        <v>182</v>
      </c>
      <c r="G386" t="s">
        <v>183</v>
      </c>
      <c r="H386" t="s">
        <v>30</v>
      </c>
      <c r="I386" t="s">
        <v>145</v>
      </c>
      <c r="K386" t="s">
        <v>27</v>
      </c>
      <c r="L386" t="s">
        <v>27</v>
      </c>
      <c r="M386" t="s">
        <v>27</v>
      </c>
      <c r="N386" s="7">
        <v>45870</v>
      </c>
      <c r="O386" s="6">
        <v>-3000</v>
      </c>
      <c r="P386" t="s">
        <v>253</v>
      </c>
      <c r="Q386" t="s">
        <v>149</v>
      </c>
      <c r="R386" t="s">
        <v>30</v>
      </c>
      <c r="S386" t="s">
        <v>145</v>
      </c>
    </row>
    <row r="387" spans="1:19" x14ac:dyDescent="0.25">
      <c r="A387" t="s">
        <v>27</v>
      </c>
      <c r="B387" t="s">
        <v>27</v>
      </c>
      <c r="C387" t="s">
        <v>27</v>
      </c>
      <c r="D387" s="7">
        <v>45901</v>
      </c>
      <c r="E387" s="6">
        <v>-8000</v>
      </c>
      <c r="F387" t="s">
        <v>182</v>
      </c>
      <c r="G387" t="s">
        <v>183</v>
      </c>
      <c r="H387" t="s">
        <v>30</v>
      </c>
      <c r="I387" t="s">
        <v>145</v>
      </c>
      <c r="K387" t="s">
        <v>27</v>
      </c>
      <c r="L387" t="s">
        <v>27</v>
      </c>
      <c r="M387" t="s">
        <v>27</v>
      </c>
      <c r="N387" s="7">
        <v>45901</v>
      </c>
      <c r="O387" s="6">
        <v>-3000</v>
      </c>
      <c r="P387" t="s">
        <v>254</v>
      </c>
      <c r="Q387" t="s">
        <v>149</v>
      </c>
      <c r="R387" t="s">
        <v>30</v>
      </c>
      <c r="S387" t="s">
        <v>145</v>
      </c>
    </row>
    <row r="388" spans="1:19" x14ac:dyDescent="0.25">
      <c r="A388" t="s">
        <v>27</v>
      </c>
      <c r="B388" t="s">
        <v>27</v>
      </c>
      <c r="C388" t="s">
        <v>27</v>
      </c>
      <c r="D388" s="7">
        <v>45931</v>
      </c>
      <c r="E388" s="6">
        <v>-8000</v>
      </c>
      <c r="F388" t="s">
        <v>182</v>
      </c>
      <c r="G388" t="s">
        <v>183</v>
      </c>
      <c r="H388" t="s">
        <v>30</v>
      </c>
      <c r="I388" t="s">
        <v>145</v>
      </c>
      <c r="K388" t="s">
        <v>27</v>
      </c>
      <c r="L388" t="s">
        <v>27</v>
      </c>
      <c r="M388" t="s">
        <v>27</v>
      </c>
      <c r="N388" s="7">
        <v>45931</v>
      </c>
      <c r="O388" s="6">
        <v>-3000</v>
      </c>
      <c r="P388" t="s">
        <v>255</v>
      </c>
      <c r="Q388" t="s">
        <v>149</v>
      </c>
      <c r="R388" t="s">
        <v>30</v>
      </c>
      <c r="S388" t="s">
        <v>145</v>
      </c>
    </row>
    <row r="389" spans="1:19" x14ac:dyDescent="0.25">
      <c r="A389" t="s">
        <v>27</v>
      </c>
      <c r="B389" t="s">
        <v>27</v>
      </c>
      <c r="C389" t="s">
        <v>27</v>
      </c>
      <c r="D389" s="7">
        <v>45962</v>
      </c>
      <c r="E389" s="6">
        <v>-8000</v>
      </c>
      <c r="F389" t="s">
        <v>182</v>
      </c>
      <c r="G389" t="s">
        <v>183</v>
      </c>
      <c r="H389" t="s">
        <v>30</v>
      </c>
      <c r="I389" t="s">
        <v>145</v>
      </c>
      <c r="K389" t="s">
        <v>27</v>
      </c>
      <c r="L389" t="s">
        <v>27</v>
      </c>
      <c r="M389" t="s">
        <v>27</v>
      </c>
      <c r="N389" s="7">
        <v>45962</v>
      </c>
      <c r="O389" s="6">
        <v>-3000</v>
      </c>
      <c r="P389" t="s">
        <v>256</v>
      </c>
      <c r="Q389" t="s">
        <v>149</v>
      </c>
      <c r="R389" t="s">
        <v>30</v>
      </c>
      <c r="S389" t="s">
        <v>145</v>
      </c>
    </row>
    <row r="390" spans="1:19" x14ac:dyDescent="0.25">
      <c r="A390" t="s">
        <v>27</v>
      </c>
      <c r="B390" t="s">
        <v>27</v>
      </c>
      <c r="C390" t="s">
        <v>27</v>
      </c>
      <c r="D390" s="7">
        <v>45992</v>
      </c>
      <c r="E390" s="6">
        <v>-8000</v>
      </c>
      <c r="F390" t="s">
        <v>182</v>
      </c>
      <c r="G390" t="s">
        <v>183</v>
      </c>
      <c r="H390" t="s">
        <v>30</v>
      </c>
      <c r="I390" t="s">
        <v>145</v>
      </c>
      <c r="K390" t="s">
        <v>27</v>
      </c>
      <c r="L390" t="s">
        <v>27</v>
      </c>
      <c r="M390" t="s">
        <v>27</v>
      </c>
      <c r="N390" s="7">
        <v>45992</v>
      </c>
      <c r="O390" s="6">
        <v>-3000</v>
      </c>
      <c r="P390" t="s">
        <v>257</v>
      </c>
      <c r="Q390" t="s">
        <v>149</v>
      </c>
      <c r="R390" t="s">
        <v>30</v>
      </c>
      <c r="S390" t="s">
        <v>145</v>
      </c>
    </row>
    <row r="391" spans="1:19" x14ac:dyDescent="0.25">
      <c r="A391" t="s">
        <v>27</v>
      </c>
      <c r="B391" t="s">
        <v>27</v>
      </c>
      <c r="C391" t="s">
        <v>27</v>
      </c>
      <c r="D391" s="7">
        <v>45658</v>
      </c>
      <c r="E391" s="6">
        <v>-600</v>
      </c>
      <c r="F391" t="s">
        <v>184</v>
      </c>
      <c r="G391" t="s">
        <v>185</v>
      </c>
      <c r="H391" t="s">
        <v>30</v>
      </c>
      <c r="I391" t="s">
        <v>145</v>
      </c>
      <c r="K391" t="s">
        <v>27</v>
      </c>
      <c r="L391" t="s">
        <v>27</v>
      </c>
      <c r="M391" t="s">
        <v>27</v>
      </c>
      <c r="N391" s="7">
        <v>45658</v>
      </c>
      <c r="O391" s="6">
        <v>-12500</v>
      </c>
      <c r="P391" t="s">
        <v>258</v>
      </c>
      <c r="Q391" t="s">
        <v>151</v>
      </c>
      <c r="R391" t="s">
        <v>30</v>
      </c>
      <c r="S391" t="s">
        <v>145</v>
      </c>
    </row>
    <row r="392" spans="1:19" x14ac:dyDescent="0.25">
      <c r="A392" t="s">
        <v>27</v>
      </c>
      <c r="B392" t="s">
        <v>27</v>
      </c>
      <c r="C392" t="s">
        <v>27</v>
      </c>
      <c r="D392" s="7">
        <v>45689</v>
      </c>
      <c r="E392" s="6">
        <v>-600</v>
      </c>
      <c r="F392" t="s">
        <v>184</v>
      </c>
      <c r="G392" t="s">
        <v>185</v>
      </c>
      <c r="H392" t="s">
        <v>30</v>
      </c>
      <c r="I392" t="s">
        <v>145</v>
      </c>
      <c r="K392" t="s">
        <v>27</v>
      </c>
      <c r="L392" t="s">
        <v>27</v>
      </c>
      <c r="M392" t="s">
        <v>27</v>
      </c>
      <c r="N392" s="7">
        <v>45689</v>
      </c>
      <c r="O392" s="6">
        <v>-12500</v>
      </c>
      <c r="P392" t="s">
        <v>259</v>
      </c>
      <c r="Q392" t="s">
        <v>151</v>
      </c>
      <c r="R392" t="s">
        <v>30</v>
      </c>
      <c r="S392" t="s">
        <v>145</v>
      </c>
    </row>
    <row r="393" spans="1:19" x14ac:dyDescent="0.25">
      <c r="A393" t="s">
        <v>27</v>
      </c>
      <c r="B393" t="s">
        <v>27</v>
      </c>
      <c r="C393" t="s">
        <v>27</v>
      </c>
      <c r="D393" s="7">
        <v>45717</v>
      </c>
      <c r="E393" s="6">
        <v>-600</v>
      </c>
      <c r="F393" t="s">
        <v>184</v>
      </c>
      <c r="G393" t="s">
        <v>185</v>
      </c>
      <c r="H393" t="s">
        <v>30</v>
      </c>
      <c r="I393" t="s">
        <v>145</v>
      </c>
      <c r="K393" t="s">
        <v>27</v>
      </c>
      <c r="L393" t="s">
        <v>27</v>
      </c>
      <c r="M393" t="s">
        <v>27</v>
      </c>
      <c r="N393" s="7">
        <v>45717</v>
      </c>
      <c r="O393" s="6">
        <v>-12500</v>
      </c>
      <c r="P393" t="s">
        <v>260</v>
      </c>
      <c r="Q393" t="s">
        <v>151</v>
      </c>
      <c r="R393" t="s">
        <v>30</v>
      </c>
      <c r="S393" t="s">
        <v>145</v>
      </c>
    </row>
    <row r="394" spans="1:19" x14ac:dyDescent="0.25">
      <c r="A394" t="s">
        <v>27</v>
      </c>
      <c r="B394" t="s">
        <v>27</v>
      </c>
      <c r="C394" t="s">
        <v>27</v>
      </c>
      <c r="D394" s="7">
        <v>45748</v>
      </c>
      <c r="E394" s="6">
        <v>-600</v>
      </c>
      <c r="F394" t="s">
        <v>184</v>
      </c>
      <c r="G394" t="s">
        <v>185</v>
      </c>
      <c r="H394" t="s">
        <v>30</v>
      </c>
      <c r="I394" t="s">
        <v>145</v>
      </c>
      <c r="K394" t="s">
        <v>27</v>
      </c>
      <c r="L394" t="s">
        <v>27</v>
      </c>
      <c r="M394" t="s">
        <v>27</v>
      </c>
      <c r="N394" s="7">
        <v>45748</v>
      </c>
      <c r="O394" s="6">
        <v>-12500</v>
      </c>
      <c r="P394" t="s">
        <v>261</v>
      </c>
      <c r="Q394" t="s">
        <v>151</v>
      </c>
      <c r="R394" t="s">
        <v>30</v>
      </c>
      <c r="S394" t="s">
        <v>145</v>
      </c>
    </row>
    <row r="395" spans="1:19" x14ac:dyDescent="0.25">
      <c r="A395" t="s">
        <v>27</v>
      </c>
      <c r="B395" t="s">
        <v>27</v>
      </c>
      <c r="C395" t="s">
        <v>27</v>
      </c>
      <c r="D395" s="7">
        <v>45778</v>
      </c>
      <c r="E395" s="6">
        <v>-600</v>
      </c>
      <c r="F395" t="s">
        <v>184</v>
      </c>
      <c r="G395" t="s">
        <v>185</v>
      </c>
      <c r="H395" t="s">
        <v>30</v>
      </c>
      <c r="I395" t="s">
        <v>145</v>
      </c>
      <c r="K395" t="s">
        <v>27</v>
      </c>
      <c r="L395" t="s">
        <v>27</v>
      </c>
      <c r="M395" t="s">
        <v>27</v>
      </c>
      <c r="N395" s="7">
        <v>45778</v>
      </c>
      <c r="O395" s="6">
        <v>-12500</v>
      </c>
      <c r="P395" t="s">
        <v>262</v>
      </c>
      <c r="Q395" t="s">
        <v>151</v>
      </c>
      <c r="R395" t="s">
        <v>30</v>
      </c>
      <c r="S395" t="s">
        <v>145</v>
      </c>
    </row>
    <row r="396" spans="1:19" x14ac:dyDescent="0.25">
      <c r="A396" t="s">
        <v>27</v>
      </c>
      <c r="B396" t="s">
        <v>27</v>
      </c>
      <c r="C396" t="s">
        <v>27</v>
      </c>
      <c r="D396" s="7">
        <v>45809</v>
      </c>
      <c r="E396" s="6">
        <v>-600</v>
      </c>
      <c r="F396" t="s">
        <v>184</v>
      </c>
      <c r="G396" t="s">
        <v>185</v>
      </c>
      <c r="H396" t="s">
        <v>30</v>
      </c>
      <c r="I396" t="s">
        <v>145</v>
      </c>
      <c r="K396" t="s">
        <v>27</v>
      </c>
      <c r="L396" t="s">
        <v>27</v>
      </c>
      <c r="M396" t="s">
        <v>27</v>
      </c>
      <c r="N396" s="7">
        <v>45809</v>
      </c>
      <c r="O396" s="6">
        <v>-12500</v>
      </c>
      <c r="P396" t="s">
        <v>263</v>
      </c>
      <c r="Q396" t="s">
        <v>151</v>
      </c>
      <c r="R396" t="s">
        <v>30</v>
      </c>
      <c r="S396" t="s">
        <v>145</v>
      </c>
    </row>
    <row r="397" spans="1:19" x14ac:dyDescent="0.25">
      <c r="A397" t="s">
        <v>27</v>
      </c>
      <c r="B397" t="s">
        <v>27</v>
      </c>
      <c r="C397" t="s">
        <v>27</v>
      </c>
      <c r="D397" s="7">
        <v>45839</v>
      </c>
      <c r="E397" s="6">
        <v>-600</v>
      </c>
      <c r="F397" t="s">
        <v>184</v>
      </c>
      <c r="G397" t="s">
        <v>185</v>
      </c>
      <c r="H397" t="s">
        <v>30</v>
      </c>
      <c r="I397" t="s">
        <v>145</v>
      </c>
      <c r="K397" t="s">
        <v>27</v>
      </c>
      <c r="L397" t="s">
        <v>27</v>
      </c>
      <c r="M397" t="s">
        <v>27</v>
      </c>
      <c r="N397" s="7">
        <v>45839</v>
      </c>
      <c r="O397" s="6">
        <v>-12500</v>
      </c>
      <c r="P397" t="s">
        <v>264</v>
      </c>
      <c r="Q397" t="s">
        <v>151</v>
      </c>
      <c r="R397" t="s">
        <v>30</v>
      </c>
      <c r="S397" t="s">
        <v>145</v>
      </c>
    </row>
    <row r="398" spans="1:19" x14ac:dyDescent="0.25">
      <c r="A398" t="s">
        <v>27</v>
      </c>
      <c r="B398" t="s">
        <v>27</v>
      </c>
      <c r="C398" t="s">
        <v>27</v>
      </c>
      <c r="D398" s="7">
        <v>45870</v>
      </c>
      <c r="E398" s="6">
        <v>-600</v>
      </c>
      <c r="F398" t="s">
        <v>184</v>
      </c>
      <c r="G398" t="s">
        <v>185</v>
      </c>
      <c r="H398" t="s">
        <v>30</v>
      </c>
      <c r="I398" t="s">
        <v>145</v>
      </c>
      <c r="K398" t="s">
        <v>27</v>
      </c>
      <c r="L398" t="s">
        <v>27</v>
      </c>
      <c r="M398" t="s">
        <v>27</v>
      </c>
      <c r="N398" s="7">
        <v>45870</v>
      </c>
      <c r="O398" s="6">
        <v>-12500</v>
      </c>
      <c r="P398" t="s">
        <v>265</v>
      </c>
      <c r="Q398" t="s">
        <v>151</v>
      </c>
      <c r="R398" t="s">
        <v>30</v>
      </c>
      <c r="S398" t="s">
        <v>145</v>
      </c>
    </row>
    <row r="399" spans="1:19" x14ac:dyDescent="0.25">
      <c r="A399" t="s">
        <v>27</v>
      </c>
      <c r="B399" t="s">
        <v>27</v>
      </c>
      <c r="C399" t="s">
        <v>27</v>
      </c>
      <c r="D399" s="7">
        <v>45901</v>
      </c>
      <c r="E399" s="6">
        <v>-600</v>
      </c>
      <c r="F399" t="s">
        <v>184</v>
      </c>
      <c r="G399" t="s">
        <v>185</v>
      </c>
      <c r="H399" t="s">
        <v>30</v>
      </c>
      <c r="I399" t="s">
        <v>145</v>
      </c>
      <c r="K399" t="s">
        <v>27</v>
      </c>
      <c r="L399" t="s">
        <v>27</v>
      </c>
      <c r="M399" t="s">
        <v>27</v>
      </c>
      <c r="N399" s="7">
        <v>45901</v>
      </c>
      <c r="O399" s="6">
        <v>-12500</v>
      </c>
      <c r="P399" t="s">
        <v>266</v>
      </c>
      <c r="Q399" t="s">
        <v>151</v>
      </c>
      <c r="R399" t="s">
        <v>30</v>
      </c>
      <c r="S399" t="s">
        <v>145</v>
      </c>
    </row>
    <row r="400" spans="1:19" x14ac:dyDescent="0.25">
      <c r="A400" t="s">
        <v>27</v>
      </c>
      <c r="B400" t="s">
        <v>27</v>
      </c>
      <c r="C400" t="s">
        <v>27</v>
      </c>
      <c r="D400" s="7">
        <v>45931</v>
      </c>
      <c r="E400" s="6">
        <v>-600</v>
      </c>
      <c r="F400" t="s">
        <v>184</v>
      </c>
      <c r="G400" t="s">
        <v>185</v>
      </c>
      <c r="H400" t="s">
        <v>30</v>
      </c>
      <c r="I400" t="s">
        <v>145</v>
      </c>
      <c r="K400" t="s">
        <v>27</v>
      </c>
      <c r="L400" t="s">
        <v>27</v>
      </c>
      <c r="M400" t="s">
        <v>27</v>
      </c>
      <c r="N400" s="7">
        <v>45931</v>
      </c>
      <c r="O400" s="6">
        <v>-12500</v>
      </c>
      <c r="P400" t="s">
        <v>267</v>
      </c>
      <c r="Q400" t="s">
        <v>151</v>
      </c>
      <c r="R400" t="s">
        <v>30</v>
      </c>
      <c r="S400" t="s">
        <v>145</v>
      </c>
    </row>
    <row r="401" spans="1:19" x14ac:dyDescent="0.25">
      <c r="A401" t="s">
        <v>27</v>
      </c>
      <c r="B401" t="s">
        <v>27</v>
      </c>
      <c r="C401" t="s">
        <v>27</v>
      </c>
      <c r="D401" s="7">
        <v>45962</v>
      </c>
      <c r="E401" s="6">
        <v>-600</v>
      </c>
      <c r="F401" t="s">
        <v>184</v>
      </c>
      <c r="G401" t="s">
        <v>185</v>
      </c>
      <c r="H401" t="s">
        <v>30</v>
      </c>
      <c r="I401" t="s">
        <v>145</v>
      </c>
      <c r="K401" t="s">
        <v>27</v>
      </c>
      <c r="L401" t="s">
        <v>27</v>
      </c>
      <c r="M401" t="s">
        <v>27</v>
      </c>
      <c r="N401" s="7">
        <v>45962</v>
      </c>
      <c r="O401" s="6">
        <v>-12500</v>
      </c>
      <c r="P401" t="s">
        <v>268</v>
      </c>
      <c r="Q401" t="s">
        <v>151</v>
      </c>
      <c r="R401" t="s">
        <v>30</v>
      </c>
      <c r="S401" t="s">
        <v>145</v>
      </c>
    </row>
    <row r="402" spans="1:19" x14ac:dyDescent="0.25">
      <c r="A402" t="s">
        <v>27</v>
      </c>
      <c r="B402" t="s">
        <v>27</v>
      </c>
      <c r="C402" t="s">
        <v>27</v>
      </c>
      <c r="D402" s="7">
        <v>45992</v>
      </c>
      <c r="E402" s="6">
        <v>-600</v>
      </c>
      <c r="F402" t="s">
        <v>184</v>
      </c>
      <c r="G402" t="s">
        <v>185</v>
      </c>
      <c r="H402" t="s">
        <v>30</v>
      </c>
      <c r="I402" t="s">
        <v>145</v>
      </c>
      <c r="K402" t="s">
        <v>27</v>
      </c>
      <c r="L402" t="s">
        <v>27</v>
      </c>
      <c r="M402" t="s">
        <v>27</v>
      </c>
      <c r="N402" s="7">
        <v>45992</v>
      </c>
      <c r="O402" s="6">
        <v>-12500</v>
      </c>
      <c r="P402" t="s">
        <v>269</v>
      </c>
      <c r="Q402" t="s">
        <v>151</v>
      </c>
      <c r="R402" t="s">
        <v>30</v>
      </c>
      <c r="S402" t="s">
        <v>145</v>
      </c>
    </row>
    <row r="403" spans="1:19" x14ac:dyDescent="0.25">
      <c r="A403" t="s">
        <v>27</v>
      </c>
      <c r="B403" t="s">
        <v>27</v>
      </c>
      <c r="C403" t="s">
        <v>27</v>
      </c>
      <c r="D403" s="7">
        <v>45658</v>
      </c>
      <c r="E403" s="6">
        <v>-1800</v>
      </c>
      <c r="F403" t="s">
        <v>186</v>
      </c>
      <c r="G403" t="s">
        <v>187</v>
      </c>
      <c r="H403" t="s">
        <v>30</v>
      </c>
      <c r="I403" t="s">
        <v>145</v>
      </c>
      <c r="K403" t="s">
        <v>27</v>
      </c>
      <c r="L403" t="s">
        <v>27</v>
      </c>
      <c r="M403" t="s">
        <v>27</v>
      </c>
      <c r="N403" s="7">
        <v>45658</v>
      </c>
      <c r="O403" s="6">
        <v>-15000</v>
      </c>
      <c r="P403" t="s">
        <v>270</v>
      </c>
      <c r="Q403" t="s">
        <v>153</v>
      </c>
      <c r="R403" t="s">
        <v>30</v>
      </c>
      <c r="S403" t="s">
        <v>145</v>
      </c>
    </row>
    <row r="404" spans="1:19" x14ac:dyDescent="0.25">
      <c r="A404" t="s">
        <v>27</v>
      </c>
      <c r="B404" t="s">
        <v>27</v>
      </c>
      <c r="C404" t="s">
        <v>27</v>
      </c>
      <c r="D404" s="7">
        <v>45689</v>
      </c>
      <c r="E404" s="6">
        <v>-1800</v>
      </c>
      <c r="F404" t="s">
        <v>186</v>
      </c>
      <c r="G404" t="s">
        <v>187</v>
      </c>
      <c r="H404" t="s">
        <v>30</v>
      </c>
      <c r="I404" t="s">
        <v>145</v>
      </c>
      <c r="K404" t="s">
        <v>27</v>
      </c>
      <c r="L404" t="s">
        <v>27</v>
      </c>
      <c r="M404" t="s">
        <v>27</v>
      </c>
      <c r="N404" s="7">
        <v>45689</v>
      </c>
      <c r="O404" s="6">
        <v>-15000</v>
      </c>
      <c r="P404" t="s">
        <v>271</v>
      </c>
      <c r="Q404" t="s">
        <v>153</v>
      </c>
      <c r="R404" t="s">
        <v>30</v>
      </c>
      <c r="S404" t="s">
        <v>145</v>
      </c>
    </row>
    <row r="405" spans="1:19" x14ac:dyDescent="0.25">
      <c r="A405" t="s">
        <v>27</v>
      </c>
      <c r="B405" t="s">
        <v>27</v>
      </c>
      <c r="C405" t="s">
        <v>27</v>
      </c>
      <c r="D405" s="7">
        <v>45717</v>
      </c>
      <c r="E405" s="6">
        <v>-1800</v>
      </c>
      <c r="F405" t="s">
        <v>186</v>
      </c>
      <c r="G405" t="s">
        <v>187</v>
      </c>
      <c r="H405" t="s">
        <v>30</v>
      </c>
      <c r="I405" t="s">
        <v>145</v>
      </c>
      <c r="K405" t="s">
        <v>27</v>
      </c>
      <c r="L405" t="s">
        <v>27</v>
      </c>
      <c r="M405" t="s">
        <v>27</v>
      </c>
      <c r="N405" s="7">
        <v>45717</v>
      </c>
      <c r="O405" s="6">
        <v>-15000</v>
      </c>
      <c r="P405" t="s">
        <v>272</v>
      </c>
      <c r="Q405" t="s">
        <v>153</v>
      </c>
      <c r="R405" t="s">
        <v>30</v>
      </c>
      <c r="S405" t="s">
        <v>145</v>
      </c>
    </row>
    <row r="406" spans="1:19" x14ac:dyDescent="0.25">
      <c r="A406" t="s">
        <v>27</v>
      </c>
      <c r="B406" t="s">
        <v>27</v>
      </c>
      <c r="C406" t="s">
        <v>27</v>
      </c>
      <c r="D406" s="7">
        <v>45748</v>
      </c>
      <c r="E406" s="6">
        <v>-1800</v>
      </c>
      <c r="F406" t="s">
        <v>186</v>
      </c>
      <c r="G406" t="s">
        <v>187</v>
      </c>
      <c r="H406" t="s">
        <v>30</v>
      </c>
      <c r="I406" t="s">
        <v>145</v>
      </c>
      <c r="K406" t="s">
        <v>27</v>
      </c>
      <c r="L406" t="s">
        <v>27</v>
      </c>
      <c r="M406" t="s">
        <v>27</v>
      </c>
      <c r="N406" s="7">
        <v>45748</v>
      </c>
      <c r="O406" s="6">
        <v>-15000</v>
      </c>
      <c r="P406" t="s">
        <v>273</v>
      </c>
      <c r="Q406" t="s">
        <v>153</v>
      </c>
      <c r="R406" t="s">
        <v>30</v>
      </c>
      <c r="S406" t="s">
        <v>145</v>
      </c>
    </row>
    <row r="407" spans="1:19" x14ac:dyDescent="0.25">
      <c r="A407" t="s">
        <v>27</v>
      </c>
      <c r="B407" t="s">
        <v>27</v>
      </c>
      <c r="C407" t="s">
        <v>27</v>
      </c>
      <c r="D407" s="7">
        <v>45778</v>
      </c>
      <c r="E407" s="6">
        <v>-1800</v>
      </c>
      <c r="F407" t="s">
        <v>186</v>
      </c>
      <c r="G407" t="s">
        <v>187</v>
      </c>
      <c r="H407" t="s">
        <v>30</v>
      </c>
      <c r="I407" t="s">
        <v>145</v>
      </c>
      <c r="K407" t="s">
        <v>27</v>
      </c>
      <c r="L407" t="s">
        <v>27</v>
      </c>
      <c r="M407" t="s">
        <v>27</v>
      </c>
      <c r="N407" s="7">
        <v>45778</v>
      </c>
      <c r="O407" s="6">
        <v>-15000</v>
      </c>
      <c r="P407" t="s">
        <v>274</v>
      </c>
      <c r="Q407" t="s">
        <v>153</v>
      </c>
      <c r="R407" t="s">
        <v>30</v>
      </c>
      <c r="S407" t="s">
        <v>145</v>
      </c>
    </row>
    <row r="408" spans="1:19" x14ac:dyDescent="0.25">
      <c r="A408" t="s">
        <v>27</v>
      </c>
      <c r="B408" t="s">
        <v>27</v>
      </c>
      <c r="C408" t="s">
        <v>27</v>
      </c>
      <c r="D408" s="7">
        <v>45809</v>
      </c>
      <c r="E408" s="6">
        <v>-1800</v>
      </c>
      <c r="F408" t="s">
        <v>186</v>
      </c>
      <c r="G408" t="s">
        <v>187</v>
      </c>
      <c r="H408" t="s">
        <v>30</v>
      </c>
      <c r="I408" t="s">
        <v>145</v>
      </c>
      <c r="K408" t="s">
        <v>27</v>
      </c>
      <c r="L408" t="s">
        <v>27</v>
      </c>
      <c r="M408" t="s">
        <v>27</v>
      </c>
      <c r="N408" s="7">
        <v>45809</v>
      </c>
      <c r="O408" s="6">
        <v>-15000</v>
      </c>
      <c r="P408" t="s">
        <v>275</v>
      </c>
      <c r="Q408" t="s">
        <v>153</v>
      </c>
      <c r="R408" t="s">
        <v>30</v>
      </c>
      <c r="S408" t="s">
        <v>145</v>
      </c>
    </row>
    <row r="409" spans="1:19" x14ac:dyDescent="0.25">
      <c r="A409" t="s">
        <v>27</v>
      </c>
      <c r="B409" t="s">
        <v>27</v>
      </c>
      <c r="C409" t="s">
        <v>27</v>
      </c>
      <c r="D409" s="7">
        <v>45839</v>
      </c>
      <c r="E409" s="6">
        <v>-1800</v>
      </c>
      <c r="F409" t="s">
        <v>186</v>
      </c>
      <c r="G409" t="s">
        <v>187</v>
      </c>
      <c r="H409" t="s">
        <v>30</v>
      </c>
      <c r="I409" t="s">
        <v>145</v>
      </c>
      <c r="K409" t="s">
        <v>27</v>
      </c>
      <c r="L409" t="s">
        <v>27</v>
      </c>
      <c r="M409" t="s">
        <v>27</v>
      </c>
      <c r="N409" s="7">
        <v>45839</v>
      </c>
      <c r="O409" s="6">
        <v>-15000</v>
      </c>
      <c r="P409" t="s">
        <v>276</v>
      </c>
      <c r="Q409" t="s">
        <v>153</v>
      </c>
      <c r="R409" t="s">
        <v>30</v>
      </c>
      <c r="S409" t="s">
        <v>145</v>
      </c>
    </row>
    <row r="410" spans="1:19" x14ac:dyDescent="0.25">
      <c r="A410" t="s">
        <v>27</v>
      </c>
      <c r="B410" t="s">
        <v>27</v>
      </c>
      <c r="C410" t="s">
        <v>27</v>
      </c>
      <c r="D410" s="7">
        <v>45870</v>
      </c>
      <c r="E410" s="6">
        <v>-1800</v>
      </c>
      <c r="F410" t="s">
        <v>186</v>
      </c>
      <c r="G410" t="s">
        <v>187</v>
      </c>
      <c r="H410" t="s">
        <v>30</v>
      </c>
      <c r="I410" t="s">
        <v>145</v>
      </c>
      <c r="K410" t="s">
        <v>27</v>
      </c>
      <c r="L410" t="s">
        <v>27</v>
      </c>
      <c r="M410" t="s">
        <v>27</v>
      </c>
      <c r="N410" s="7">
        <v>45870</v>
      </c>
      <c r="O410" s="6">
        <v>-15000</v>
      </c>
      <c r="P410" t="s">
        <v>277</v>
      </c>
      <c r="Q410" t="s">
        <v>153</v>
      </c>
      <c r="R410" t="s">
        <v>30</v>
      </c>
      <c r="S410" t="s">
        <v>145</v>
      </c>
    </row>
    <row r="411" spans="1:19" x14ac:dyDescent="0.25">
      <c r="A411" t="s">
        <v>27</v>
      </c>
      <c r="B411" t="s">
        <v>27</v>
      </c>
      <c r="C411" t="s">
        <v>27</v>
      </c>
      <c r="D411" s="7">
        <v>45901</v>
      </c>
      <c r="E411" s="6">
        <v>-1800</v>
      </c>
      <c r="F411" t="s">
        <v>186</v>
      </c>
      <c r="G411" t="s">
        <v>187</v>
      </c>
      <c r="H411" t="s">
        <v>30</v>
      </c>
      <c r="I411" t="s">
        <v>145</v>
      </c>
      <c r="K411" t="s">
        <v>27</v>
      </c>
      <c r="L411" t="s">
        <v>27</v>
      </c>
      <c r="M411" t="s">
        <v>27</v>
      </c>
      <c r="N411" s="7">
        <v>45901</v>
      </c>
      <c r="O411" s="6">
        <v>-15000</v>
      </c>
      <c r="P411" t="s">
        <v>278</v>
      </c>
      <c r="Q411" t="s">
        <v>153</v>
      </c>
      <c r="R411" t="s">
        <v>30</v>
      </c>
      <c r="S411" t="s">
        <v>145</v>
      </c>
    </row>
    <row r="412" spans="1:19" x14ac:dyDescent="0.25">
      <c r="A412" t="s">
        <v>27</v>
      </c>
      <c r="B412" t="s">
        <v>27</v>
      </c>
      <c r="C412" t="s">
        <v>27</v>
      </c>
      <c r="D412" s="7">
        <v>45931</v>
      </c>
      <c r="E412" s="6">
        <v>-1800</v>
      </c>
      <c r="F412" t="s">
        <v>186</v>
      </c>
      <c r="G412" t="s">
        <v>187</v>
      </c>
      <c r="H412" t="s">
        <v>30</v>
      </c>
      <c r="I412" t="s">
        <v>145</v>
      </c>
      <c r="K412" t="s">
        <v>27</v>
      </c>
      <c r="L412" t="s">
        <v>27</v>
      </c>
      <c r="M412" t="s">
        <v>27</v>
      </c>
      <c r="N412" s="7">
        <v>45931</v>
      </c>
      <c r="O412" s="6">
        <v>-15000</v>
      </c>
      <c r="P412" t="s">
        <v>279</v>
      </c>
      <c r="Q412" t="s">
        <v>153</v>
      </c>
      <c r="R412" t="s">
        <v>30</v>
      </c>
      <c r="S412" t="s">
        <v>145</v>
      </c>
    </row>
    <row r="413" spans="1:19" x14ac:dyDescent="0.25">
      <c r="A413" t="s">
        <v>27</v>
      </c>
      <c r="B413" t="s">
        <v>27</v>
      </c>
      <c r="C413" t="s">
        <v>27</v>
      </c>
      <c r="D413" s="7">
        <v>45962</v>
      </c>
      <c r="E413" s="6">
        <v>-1800</v>
      </c>
      <c r="F413" t="s">
        <v>186</v>
      </c>
      <c r="G413" t="s">
        <v>187</v>
      </c>
      <c r="H413" t="s">
        <v>30</v>
      </c>
      <c r="I413" t="s">
        <v>145</v>
      </c>
      <c r="K413" t="s">
        <v>27</v>
      </c>
      <c r="L413" t="s">
        <v>27</v>
      </c>
      <c r="M413" t="s">
        <v>27</v>
      </c>
      <c r="N413" s="7">
        <v>45962</v>
      </c>
      <c r="O413" s="6">
        <v>-15000</v>
      </c>
      <c r="P413" t="s">
        <v>280</v>
      </c>
      <c r="Q413" t="s">
        <v>153</v>
      </c>
      <c r="R413" t="s">
        <v>30</v>
      </c>
      <c r="S413" t="s">
        <v>145</v>
      </c>
    </row>
    <row r="414" spans="1:19" x14ac:dyDescent="0.25">
      <c r="A414" t="s">
        <v>27</v>
      </c>
      <c r="B414" t="s">
        <v>27</v>
      </c>
      <c r="C414" t="s">
        <v>27</v>
      </c>
      <c r="D414" s="7">
        <v>45992</v>
      </c>
      <c r="E414" s="6">
        <v>-1800</v>
      </c>
      <c r="F414" t="s">
        <v>186</v>
      </c>
      <c r="G414" t="s">
        <v>187</v>
      </c>
      <c r="H414" t="s">
        <v>30</v>
      </c>
      <c r="I414" t="s">
        <v>145</v>
      </c>
      <c r="K414" t="s">
        <v>27</v>
      </c>
      <c r="L414" t="s">
        <v>27</v>
      </c>
      <c r="M414" t="s">
        <v>27</v>
      </c>
      <c r="N414" s="7">
        <v>45992</v>
      </c>
      <c r="O414" s="6">
        <v>-15000</v>
      </c>
      <c r="P414" t="s">
        <v>281</v>
      </c>
      <c r="Q414" t="s">
        <v>153</v>
      </c>
      <c r="R414" t="s">
        <v>30</v>
      </c>
      <c r="S414" t="s">
        <v>145</v>
      </c>
    </row>
    <row r="415" spans="1:19" x14ac:dyDescent="0.25">
      <c r="A415" t="s">
        <v>27</v>
      </c>
      <c r="B415" t="s">
        <v>27</v>
      </c>
      <c r="C415" t="s">
        <v>27</v>
      </c>
      <c r="D415" s="7">
        <v>45658</v>
      </c>
      <c r="E415" s="6">
        <v>-2400</v>
      </c>
      <c r="F415" t="s">
        <v>188</v>
      </c>
      <c r="G415" t="s">
        <v>189</v>
      </c>
      <c r="H415" t="s">
        <v>30</v>
      </c>
      <c r="I415" t="s">
        <v>145</v>
      </c>
      <c r="K415" t="s">
        <v>27</v>
      </c>
      <c r="L415" t="s">
        <v>27</v>
      </c>
      <c r="M415" t="s">
        <v>27</v>
      </c>
      <c r="N415" s="7">
        <v>45658</v>
      </c>
      <c r="O415" s="6">
        <v>-2500</v>
      </c>
      <c r="P415" t="s">
        <v>282</v>
      </c>
      <c r="Q415" t="s">
        <v>155</v>
      </c>
      <c r="R415" t="s">
        <v>30</v>
      </c>
      <c r="S415" t="s">
        <v>145</v>
      </c>
    </row>
    <row r="416" spans="1:19" x14ac:dyDescent="0.25">
      <c r="A416" t="s">
        <v>27</v>
      </c>
      <c r="B416" t="s">
        <v>27</v>
      </c>
      <c r="C416" t="s">
        <v>27</v>
      </c>
      <c r="D416" s="7">
        <v>45689</v>
      </c>
      <c r="E416" s="6">
        <v>-2400</v>
      </c>
      <c r="F416" t="s">
        <v>188</v>
      </c>
      <c r="G416" t="s">
        <v>189</v>
      </c>
      <c r="H416" t="s">
        <v>30</v>
      </c>
      <c r="I416" t="s">
        <v>145</v>
      </c>
      <c r="K416" t="s">
        <v>27</v>
      </c>
      <c r="L416" t="s">
        <v>27</v>
      </c>
      <c r="M416" t="s">
        <v>27</v>
      </c>
      <c r="N416" s="7">
        <v>45689</v>
      </c>
      <c r="O416" s="6">
        <v>-2500</v>
      </c>
      <c r="P416" t="s">
        <v>283</v>
      </c>
      <c r="Q416" t="s">
        <v>155</v>
      </c>
      <c r="R416" t="s">
        <v>30</v>
      </c>
      <c r="S416" t="s">
        <v>145</v>
      </c>
    </row>
    <row r="417" spans="1:19" x14ac:dyDescent="0.25">
      <c r="A417" t="s">
        <v>27</v>
      </c>
      <c r="B417" t="s">
        <v>27</v>
      </c>
      <c r="C417" t="s">
        <v>27</v>
      </c>
      <c r="D417" s="7">
        <v>45717</v>
      </c>
      <c r="E417" s="6">
        <v>-2400</v>
      </c>
      <c r="F417" t="s">
        <v>188</v>
      </c>
      <c r="G417" t="s">
        <v>189</v>
      </c>
      <c r="H417" t="s">
        <v>30</v>
      </c>
      <c r="I417" t="s">
        <v>145</v>
      </c>
      <c r="K417" t="s">
        <v>27</v>
      </c>
      <c r="L417" t="s">
        <v>27</v>
      </c>
      <c r="M417" t="s">
        <v>27</v>
      </c>
      <c r="N417" s="7">
        <v>45717</v>
      </c>
      <c r="O417" s="6">
        <v>-2500</v>
      </c>
      <c r="P417" t="s">
        <v>284</v>
      </c>
      <c r="Q417" t="s">
        <v>155</v>
      </c>
      <c r="R417" t="s">
        <v>30</v>
      </c>
      <c r="S417" t="s">
        <v>145</v>
      </c>
    </row>
    <row r="418" spans="1:19" x14ac:dyDescent="0.25">
      <c r="A418" t="s">
        <v>27</v>
      </c>
      <c r="B418" t="s">
        <v>27</v>
      </c>
      <c r="C418" t="s">
        <v>27</v>
      </c>
      <c r="D418" s="7">
        <v>45748</v>
      </c>
      <c r="E418" s="6">
        <v>-2400</v>
      </c>
      <c r="F418" t="s">
        <v>188</v>
      </c>
      <c r="G418" t="s">
        <v>189</v>
      </c>
      <c r="H418" t="s">
        <v>30</v>
      </c>
      <c r="I418" t="s">
        <v>145</v>
      </c>
      <c r="K418" t="s">
        <v>27</v>
      </c>
      <c r="L418" t="s">
        <v>27</v>
      </c>
      <c r="M418" t="s">
        <v>27</v>
      </c>
      <c r="N418" s="7">
        <v>45748</v>
      </c>
      <c r="O418" s="6">
        <v>-2500</v>
      </c>
      <c r="P418" t="s">
        <v>285</v>
      </c>
      <c r="Q418" t="s">
        <v>155</v>
      </c>
      <c r="R418" t="s">
        <v>30</v>
      </c>
      <c r="S418" t="s">
        <v>145</v>
      </c>
    </row>
    <row r="419" spans="1:19" x14ac:dyDescent="0.25">
      <c r="A419" t="s">
        <v>27</v>
      </c>
      <c r="B419" t="s">
        <v>27</v>
      </c>
      <c r="C419" t="s">
        <v>27</v>
      </c>
      <c r="D419" s="7">
        <v>45778</v>
      </c>
      <c r="E419" s="6">
        <v>-2400</v>
      </c>
      <c r="F419" t="s">
        <v>188</v>
      </c>
      <c r="G419" t="s">
        <v>189</v>
      </c>
      <c r="H419" t="s">
        <v>30</v>
      </c>
      <c r="I419" t="s">
        <v>145</v>
      </c>
      <c r="K419" t="s">
        <v>27</v>
      </c>
      <c r="L419" t="s">
        <v>27</v>
      </c>
      <c r="M419" t="s">
        <v>27</v>
      </c>
      <c r="N419" s="7">
        <v>45778</v>
      </c>
      <c r="O419" s="6">
        <v>-2500</v>
      </c>
      <c r="P419" t="s">
        <v>286</v>
      </c>
      <c r="Q419" t="s">
        <v>155</v>
      </c>
      <c r="R419" t="s">
        <v>30</v>
      </c>
      <c r="S419" t="s">
        <v>145</v>
      </c>
    </row>
    <row r="420" spans="1:19" x14ac:dyDescent="0.25">
      <c r="A420" t="s">
        <v>27</v>
      </c>
      <c r="B420" t="s">
        <v>27</v>
      </c>
      <c r="C420" t="s">
        <v>27</v>
      </c>
      <c r="D420" s="7">
        <v>45809</v>
      </c>
      <c r="E420" s="6">
        <v>-2400</v>
      </c>
      <c r="F420" t="s">
        <v>188</v>
      </c>
      <c r="G420" t="s">
        <v>189</v>
      </c>
      <c r="H420" t="s">
        <v>30</v>
      </c>
      <c r="I420" t="s">
        <v>145</v>
      </c>
      <c r="K420" t="s">
        <v>27</v>
      </c>
      <c r="L420" t="s">
        <v>27</v>
      </c>
      <c r="M420" t="s">
        <v>27</v>
      </c>
      <c r="N420" s="7">
        <v>45809</v>
      </c>
      <c r="O420" s="6">
        <v>-2500</v>
      </c>
      <c r="P420" t="s">
        <v>287</v>
      </c>
      <c r="Q420" t="s">
        <v>155</v>
      </c>
      <c r="R420" t="s">
        <v>30</v>
      </c>
      <c r="S420" t="s">
        <v>145</v>
      </c>
    </row>
    <row r="421" spans="1:19" x14ac:dyDescent="0.25">
      <c r="A421" t="s">
        <v>27</v>
      </c>
      <c r="B421" t="s">
        <v>27</v>
      </c>
      <c r="C421" t="s">
        <v>27</v>
      </c>
      <c r="D421" s="7">
        <v>45839</v>
      </c>
      <c r="E421" s="6">
        <v>-2400</v>
      </c>
      <c r="F421" t="s">
        <v>188</v>
      </c>
      <c r="G421" t="s">
        <v>189</v>
      </c>
      <c r="H421" t="s">
        <v>30</v>
      </c>
      <c r="I421" t="s">
        <v>145</v>
      </c>
      <c r="K421" t="s">
        <v>27</v>
      </c>
      <c r="L421" t="s">
        <v>27</v>
      </c>
      <c r="M421" t="s">
        <v>27</v>
      </c>
      <c r="N421" s="7">
        <v>45839</v>
      </c>
      <c r="O421" s="6">
        <v>-2500</v>
      </c>
      <c r="P421" t="s">
        <v>288</v>
      </c>
      <c r="Q421" t="s">
        <v>155</v>
      </c>
      <c r="R421" t="s">
        <v>30</v>
      </c>
      <c r="S421" t="s">
        <v>145</v>
      </c>
    </row>
    <row r="422" spans="1:19" x14ac:dyDescent="0.25">
      <c r="A422" t="s">
        <v>27</v>
      </c>
      <c r="B422" t="s">
        <v>27</v>
      </c>
      <c r="C422" t="s">
        <v>27</v>
      </c>
      <c r="D422" s="7">
        <v>45870</v>
      </c>
      <c r="E422" s="6">
        <v>-2400</v>
      </c>
      <c r="F422" t="s">
        <v>188</v>
      </c>
      <c r="G422" t="s">
        <v>189</v>
      </c>
      <c r="H422" t="s">
        <v>30</v>
      </c>
      <c r="I422" t="s">
        <v>145</v>
      </c>
      <c r="K422" t="s">
        <v>27</v>
      </c>
      <c r="L422" t="s">
        <v>27</v>
      </c>
      <c r="M422" t="s">
        <v>27</v>
      </c>
      <c r="N422" s="7">
        <v>45870</v>
      </c>
      <c r="O422" s="6">
        <v>-2500</v>
      </c>
      <c r="P422" t="s">
        <v>289</v>
      </c>
      <c r="Q422" t="s">
        <v>155</v>
      </c>
      <c r="R422" t="s">
        <v>30</v>
      </c>
      <c r="S422" t="s">
        <v>145</v>
      </c>
    </row>
    <row r="423" spans="1:19" x14ac:dyDescent="0.25">
      <c r="A423" t="s">
        <v>27</v>
      </c>
      <c r="B423" t="s">
        <v>27</v>
      </c>
      <c r="C423" t="s">
        <v>27</v>
      </c>
      <c r="D423" s="7">
        <v>45901</v>
      </c>
      <c r="E423" s="6">
        <v>-2400</v>
      </c>
      <c r="F423" t="s">
        <v>188</v>
      </c>
      <c r="G423" t="s">
        <v>189</v>
      </c>
      <c r="H423" t="s">
        <v>30</v>
      </c>
      <c r="I423" t="s">
        <v>145</v>
      </c>
      <c r="K423" t="s">
        <v>27</v>
      </c>
      <c r="L423" t="s">
        <v>27</v>
      </c>
      <c r="M423" t="s">
        <v>27</v>
      </c>
      <c r="N423" s="7">
        <v>45901</v>
      </c>
      <c r="O423" s="6">
        <v>-2500</v>
      </c>
      <c r="P423" t="s">
        <v>290</v>
      </c>
      <c r="Q423" t="s">
        <v>155</v>
      </c>
      <c r="R423" t="s">
        <v>30</v>
      </c>
      <c r="S423" t="s">
        <v>145</v>
      </c>
    </row>
    <row r="424" spans="1:19" x14ac:dyDescent="0.25">
      <c r="A424" t="s">
        <v>27</v>
      </c>
      <c r="B424" t="s">
        <v>27</v>
      </c>
      <c r="C424" t="s">
        <v>27</v>
      </c>
      <c r="D424" s="7">
        <v>45931</v>
      </c>
      <c r="E424" s="6">
        <v>-2400</v>
      </c>
      <c r="F424" t="s">
        <v>188</v>
      </c>
      <c r="G424" t="s">
        <v>189</v>
      </c>
      <c r="H424" t="s">
        <v>30</v>
      </c>
      <c r="I424" t="s">
        <v>145</v>
      </c>
      <c r="K424" t="s">
        <v>27</v>
      </c>
      <c r="L424" t="s">
        <v>27</v>
      </c>
      <c r="M424" t="s">
        <v>27</v>
      </c>
      <c r="N424" s="7">
        <v>45931</v>
      </c>
      <c r="O424" s="6">
        <v>-2500</v>
      </c>
      <c r="P424" t="s">
        <v>291</v>
      </c>
      <c r="Q424" t="s">
        <v>155</v>
      </c>
      <c r="R424" t="s">
        <v>30</v>
      </c>
      <c r="S424" t="s">
        <v>145</v>
      </c>
    </row>
    <row r="425" spans="1:19" x14ac:dyDescent="0.25">
      <c r="A425" t="s">
        <v>27</v>
      </c>
      <c r="B425" t="s">
        <v>27</v>
      </c>
      <c r="C425" t="s">
        <v>27</v>
      </c>
      <c r="D425" s="7">
        <v>45962</v>
      </c>
      <c r="E425" s="6">
        <v>-2400</v>
      </c>
      <c r="F425" t="s">
        <v>188</v>
      </c>
      <c r="G425" t="s">
        <v>189</v>
      </c>
      <c r="H425" t="s">
        <v>30</v>
      </c>
      <c r="I425" t="s">
        <v>145</v>
      </c>
      <c r="K425" t="s">
        <v>27</v>
      </c>
      <c r="L425" t="s">
        <v>27</v>
      </c>
      <c r="M425" t="s">
        <v>27</v>
      </c>
      <c r="N425" s="7">
        <v>45962</v>
      </c>
      <c r="O425" s="6">
        <v>-2500</v>
      </c>
      <c r="P425" t="s">
        <v>292</v>
      </c>
      <c r="Q425" t="s">
        <v>155</v>
      </c>
      <c r="R425" t="s">
        <v>30</v>
      </c>
      <c r="S425" t="s">
        <v>145</v>
      </c>
    </row>
    <row r="426" spans="1:19" x14ac:dyDescent="0.25">
      <c r="A426" t="s">
        <v>27</v>
      </c>
      <c r="B426" t="s">
        <v>27</v>
      </c>
      <c r="C426" t="s">
        <v>27</v>
      </c>
      <c r="D426" s="7">
        <v>45992</v>
      </c>
      <c r="E426" s="6">
        <v>-2400</v>
      </c>
      <c r="F426" t="s">
        <v>188</v>
      </c>
      <c r="G426" t="s">
        <v>189</v>
      </c>
      <c r="H426" t="s">
        <v>30</v>
      </c>
      <c r="I426" t="s">
        <v>145</v>
      </c>
      <c r="K426" t="s">
        <v>27</v>
      </c>
      <c r="L426" t="s">
        <v>27</v>
      </c>
      <c r="M426" t="s">
        <v>27</v>
      </c>
      <c r="N426" s="7">
        <v>45992</v>
      </c>
      <c r="O426" s="6">
        <v>-2500</v>
      </c>
      <c r="P426" t="s">
        <v>293</v>
      </c>
      <c r="Q426" t="s">
        <v>155</v>
      </c>
      <c r="R426" t="s">
        <v>30</v>
      </c>
      <c r="S426" t="s">
        <v>145</v>
      </c>
    </row>
    <row r="427" spans="1:19" x14ac:dyDescent="0.25">
      <c r="A427" t="s">
        <v>27</v>
      </c>
      <c r="B427" t="s">
        <v>27</v>
      </c>
      <c r="C427" t="s">
        <v>27</v>
      </c>
      <c r="D427" s="7">
        <v>45658</v>
      </c>
      <c r="E427" s="6">
        <v>-2500</v>
      </c>
      <c r="F427" t="s">
        <v>190</v>
      </c>
      <c r="G427" t="s">
        <v>191</v>
      </c>
      <c r="H427" t="s">
        <v>30</v>
      </c>
      <c r="I427" t="s">
        <v>145</v>
      </c>
      <c r="K427" t="s">
        <v>27</v>
      </c>
      <c r="L427" t="s">
        <v>27</v>
      </c>
      <c r="M427" t="s">
        <v>27</v>
      </c>
      <c r="N427" s="7">
        <v>45689</v>
      </c>
      <c r="O427" s="6">
        <v>-3000</v>
      </c>
      <c r="P427" t="s">
        <v>294</v>
      </c>
      <c r="Q427" t="s">
        <v>157</v>
      </c>
      <c r="R427" t="s">
        <v>30</v>
      </c>
      <c r="S427" t="s">
        <v>145</v>
      </c>
    </row>
    <row r="428" spans="1:19" x14ac:dyDescent="0.25">
      <c r="A428" t="s">
        <v>27</v>
      </c>
      <c r="B428" t="s">
        <v>27</v>
      </c>
      <c r="C428" t="s">
        <v>27</v>
      </c>
      <c r="D428" s="7">
        <v>45689</v>
      </c>
      <c r="E428" s="6">
        <v>-2500</v>
      </c>
      <c r="F428" t="s">
        <v>190</v>
      </c>
      <c r="G428" t="s">
        <v>191</v>
      </c>
      <c r="H428" t="s">
        <v>30</v>
      </c>
      <c r="I428" t="s">
        <v>145</v>
      </c>
      <c r="K428" t="s">
        <v>27</v>
      </c>
      <c r="L428" t="s">
        <v>27</v>
      </c>
      <c r="M428" t="s">
        <v>27</v>
      </c>
      <c r="N428" s="7">
        <v>45717</v>
      </c>
      <c r="O428" s="6">
        <v>-3000</v>
      </c>
      <c r="P428" t="s">
        <v>295</v>
      </c>
      <c r="Q428" t="s">
        <v>157</v>
      </c>
      <c r="R428" t="s">
        <v>30</v>
      </c>
      <c r="S428" t="s">
        <v>145</v>
      </c>
    </row>
    <row r="429" spans="1:19" x14ac:dyDescent="0.25">
      <c r="A429" t="s">
        <v>27</v>
      </c>
      <c r="B429" t="s">
        <v>27</v>
      </c>
      <c r="C429" t="s">
        <v>27</v>
      </c>
      <c r="D429" s="7">
        <v>45717</v>
      </c>
      <c r="E429" s="6">
        <v>-2500</v>
      </c>
      <c r="F429" t="s">
        <v>190</v>
      </c>
      <c r="G429" t="s">
        <v>191</v>
      </c>
      <c r="H429" t="s">
        <v>30</v>
      </c>
      <c r="I429" t="s">
        <v>145</v>
      </c>
      <c r="K429" t="s">
        <v>27</v>
      </c>
      <c r="L429" t="s">
        <v>27</v>
      </c>
      <c r="M429" t="s">
        <v>27</v>
      </c>
      <c r="N429" s="7">
        <v>45748</v>
      </c>
      <c r="O429" s="6">
        <v>-3000</v>
      </c>
      <c r="P429" t="s">
        <v>296</v>
      </c>
      <c r="Q429" t="s">
        <v>157</v>
      </c>
      <c r="R429" t="s">
        <v>30</v>
      </c>
      <c r="S429" t="s">
        <v>145</v>
      </c>
    </row>
    <row r="430" spans="1:19" x14ac:dyDescent="0.25">
      <c r="A430" t="s">
        <v>27</v>
      </c>
      <c r="B430" t="s">
        <v>27</v>
      </c>
      <c r="C430" t="s">
        <v>27</v>
      </c>
      <c r="D430" s="7">
        <v>45748</v>
      </c>
      <c r="E430" s="6">
        <v>-2500</v>
      </c>
      <c r="F430" t="s">
        <v>190</v>
      </c>
      <c r="G430" t="s">
        <v>191</v>
      </c>
      <c r="H430" t="s">
        <v>30</v>
      </c>
      <c r="I430" t="s">
        <v>145</v>
      </c>
      <c r="K430" t="s">
        <v>27</v>
      </c>
      <c r="L430" t="s">
        <v>27</v>
      </c>
      <c r="M430" t="s">
        <v>27</v>
      </c>
      <c r="N430" s="7">
        <v>45778</v>
      </c>
      <c r="O430" s="6">
        <v>-3000</v>
      </c>
      <c r="P430" t="s">
        <v>297</v>
      </c>
      <c r="Q430" t="s">
        <v>157</v>
      </c>
      <c r="R430" t="s">
        <v>30</v>
      </c>
      <c r="S430" t="s">
        <v>145</v>
      </c>
    </row>
    <row r="431" spans="1:19" x14ac:dyDescent="0.25">
      <c r="A431" t="s">
        <v>27</v>
      </c>
      <c r="B431" t="s">
        <v>27</v>
      </c>
      <c r="C431" t="s">
        <v>27</v>
      </c>
      <c r="D431" s="7">
        <v>45778</v>
      </c>
      <c r="E431" s="6">
        <v>-2500</v>
      </c>
      <c r="F431" t="s">
        <v>190</v>
      </c>
      <c r="G431" t="s">
        <v>191</v>
      </c>
      <c r="H431" t="s">
        <v>30</v>
      </c>
      <c r="I431" t="s">
        <v>145</v>
      </c>
      <c r="K431" t="s">
        <v>27</v>
      </c>
      <c r="L431" t="s">
        <v>27</v>
      </c>
      <c r="M431" t="s">
        <v>27</v>
      </c>
      <c r="N431" s="7">
        <v>45809</v>
      </c>
      <c r="O431" s="6">
        <v>-3000</v>
      </c>
      <c r="P431" t="s">
        <v>298</v>
      </c>
      <c r="Q431" t="s">
        <v>157</v>
      </c>
      <c r="R431" t="s">
        <v>30</v>
      </c>
      <c r="S431" t="s">
        <v>145</v>
      </c>
    </row>
    <row r="432" spans="1:19" x14ac:dyDescent="0.25">
      <c r="A432" t="s">
        <v>27</v>
      </c>
      <c r="B432" t="s">
        <v>27</v>
      </c>
      <c r="C432" t="s">
        <v>27</v>
      </c>
      <c r="D432" s="7">
        <v>45809</v>
      </c>
      <c r="E432" s="6">
        <v>-2500</v>
      </c>
      <c r="F432" t="s">
        <v>190</v>
      </c>
      <c r="G432" t="s">
        <v>191</v>
      </c>
      <c r="H432" t="s">
        <v>30</v>
      </c>
      <c r="I432" t="s">
        <v>145</v>
      </c>
      <c r="K432" t="s">
        <v>27</v>
      </c>
      <c r="L432" t="s">
        <v>27</v>
      </c>
      <c r="M432" t="s">
        <v>27</v>
      </c>
      <c r="N432" s="7">
        <v>45839</v>
      </c>
      <c r="O432" s="6">
        <v>-3000</v>
      </c>
      <c r="P432" t="s">
        <v>299</v>
      </c>
      <c r="Q432" t="s">
        <v>157</v>
      </c>
      <c r="R432" t="s">
        <v>30</v>
      </c>
      <c r="S432" t="s">
        <v>145</v>
      </c>
    </row>
    <row r="433" spans="1:19" x14ac:dyDescent="0.25">
      <c r="A433" t="s">
        <v>27</v>
      </c>
      <c r="B433" t="s">
        <v>27</v>
      </c>
      <c r="C433" t="s">
        <v>27</v>
      </c>
      <c r="D433" s="7">
        <v>45839</v>
      </c>
      <c r="E433" s="6">
        <v>-2500</v>
      </c>
      <c r="F433" t="s">
        <v>190</v>
      </c>
      <c r="G433" t="s">
        <v>191</v>
      </c>
      <c r="H433" t="s">
        <v>30</v>
      </c>
      <c r="I433" t="s">
        <v>145</v>
      </c>
      <c r="K433" t="s">
        <v>27</v>
      </c>
      <c r="L433" t="s">
        <v>27</v>
      </c>
      <c r="M433" t="s">
        <v>27</v>
      </c>
      <c r="N433" s="7">
        <v>45870</v>
      </c>
      <c r="O433" s="6">
        <v>-3000</v>
      </c>
      <c r="P433" t="s">
        <v>300</v>
      </c>
      <c r="Q433" t="s">
        <v>157</v>
      </c>
      <c r="R433" t="s">
        <v>30</v>
      </c>
      <c r="S433" t="s">
        <v>145</v>
      </c>
    </row>
    <row r="434" spans="1:19" x14ac:dyDescent="0.25">
      <c r="A434" t="s">
        <v>27</v>
      </c>
      <c r="B434" t="s">
        <v>27</v>
      </c>
      <c r="C434" t="s">
        <v>27</v>
      </c>
      <c r="D434" s="7">
        <v>45870</v>
      </c>
      <c r="E434" s="6">
        <v>-2500</v>
      </c>
      <c r="F434" t="s">
        <v>190</v>
      </c>
      <c r="G434" t="s">
        <v>191</v>
      </c>
      <c r="H434" t="s">
        <v>30</v>
      </c>
      <c r="I434" t="s">
        <v>145</v>
      </c>
      <c r="K434" t="s">
        <v>27</v>
      </c>
      <c r="L434" t="s">
        <v>27</v>
      </c>
      <c r="M434" t="s">
        <v>27</v>
      </c>
      <c r="N434" s="7">
        <v>45901</v>
      </c>
      <c r="O434" s="6">
        <v>-3000</v>
      </c>
      <c r="P434" t="s">
        <v>301</v>
      </c>
      <c r="Q434" t="s">
        <v>157</v>
      </c>
      <c r="R434" t="s">
        <v>30</v>
      </c>
      <c r="S434" t="s">
        <v>145</v>
      </c>
    </row>
    <row r="435" spans="1:19" x14ac:dyDescent="0.25">
      <c r="A435" t="s">
        <v>27</v>
      </c>
      <c r="B435" t="s">
        <v>27</v>
      </c>
      <c r="C435" t="s">
        <v>27</v>
      </c>
      <c r="D435" s="7">
        <v>45901</v>
      </c>
      <c r="E435" s="6">
        <v>-2500</v>
      </c>
      <c r="F435" t="s">
        <v>190</v>
      </c>
      <c r="G435" t="s">
        <v>191</v>
      </c>
      <c r="H435" t="s">
        <v>30</v>
      </c>
      <c r="I435" t="s">
        <v>145</v>
      </c>
      <c r="K435" t="s">
        <v>27</v>
      </c>
      <c r="L435" t="s">
        <v>27</v>
      </c>
      <c r="M435" t="s">
        <v>27</v>
      </c>
      <c r="N435" s="7">
        <v>45931</v>
      </c>
      <c r="O435" s="6">
        <v>-3000</v>
      </c>
      <c r="P435" t="s">
        <v>302</v>
      </c>
      <c r="Q435" t="s">
        <v>157</v>
      </c>
      <c r="R435" t="s">
        <v>30</v>
      </c>
      <c r="S435" t="s">
        <v>145</v>
      </c>
    </row>
    <row r="436" spans="1:19" x14ac:dyDescent="0.25">
      <c r="A436" t="s">
        <v>27</v>
      </c>
      <c r="B436" t="s">
        <v>27</v>
      </c>
      <c r="C436" t="s">
        <v>27</v>
      </c>
      <c r="D436" s="7">
        <v>45931</v>
      </c>
      <c r="E436" s="6">
        <v>-2500</v>
      </c>
      <c r="F436" t="s">
        <v>190</v>
      </c>
      <c r="G436" t="s">
        <v>191</v>
      </c>
      <c r="H436" t="s">
        <v>30</v>
      </c>
      <c r="I436" t="s">
        <v>145</v>
      </c>
      <c r="K436" t="s">
        <v>27</v>
      </c>
      <c r="L436" t="s">
        <v>27</v>
      </c>
      <c r="M436" t="s">
        <v>27</v>
      </c>
      <c r="N436" s="7">
        <v>45962</v>
      </c>
      <c r="O436" s="6">
        <v>-3000</v>
      </c>
      <c r="P436" t="s">
        <v>303</v>
      </c>
      <c r="Q436" t="s">
        <v>157</v>
      </c>
      <c r="R436" t="s">
        <v>30</v>
      </c>
      <c r="S436" t="s">
        <v>145</v>
      </c>
    </row>
    <row r="437" spans="1:19" x14ac:dyDescent="0.25">
      <c r="A437" t="s">
        <v>27</v>
      </c>
      <c r="B437" t="s">
        <v>27</v>
      </c>
      <c r="C437" t="s">
        <v>27</v>
      </c>
      <c r="D437" s="7">
        <v>45962</v>
      </c>
      <c r="E437" s="6">
        <v>-2500</v>
      </c>
      <c r="F437" t="s">
        <v>190</v>
      </c>
      <c r="G437" t="s">
        <v>191</v>
      </c>
      <c r="H437" t="s">
        <v>30</v>
      </c>
      <c r="I437" t="s">
        <v>145</v>
      </c>
      <c r="K437" t="s">
        <v>27</v>
      </c>
      <c r="L437" t="s">
        <v>27</v>
      </c>
      <c r="M437" t="s">
        <v>27</v>
      </c>
      <c r="N437" s="7">
        <v>45992</v>
      </c>
      <c r="O437" s="6">
        <v>-3000</v>
      </c>
      <c r="P437" t="s">
        <v>304</v>
      </c>
      <c r="Q437" t="s">
        <v>157</v>
      </c>
      <c r="R437" t="s">
        <v>30</v>
      </c>
      <c r="S437" t="s">
        <v>145</v>
      </c>
    </row>
    <row r="438" spans="1:19" x14ac:dyDescent="0.25">
      <c r="A438" t="s">
        <v>27</v>
      </c>
      <c r="B438" t="s">
        <v>27</v>
      </c>
      <c r="C438" t="s">
        <v>27</v>
      </c>
      <c r="D438" s="7">
        <v>45992</v>
      </c>
      <c r="E438" s="6">
        <v>-2500</v>
      </c>
      <c r="F438" t="s">
        <v>190</v>
      </c>
      <c r="G438" t="s">
        <v>191</v>
      </c>
      <c r="H438" t="s">
        <v>30</v>
      </c>
      <c r="I438" t="s">
        <v>145</v>
      </c>
      <c r="K438" t="s">
        <v>27</v>
      </c>
      <c r="L438" t="s">
        <v>27</v>
      </c>
      <c r="M438" t="s">
        <v>27</v>
      </c>
      <c r="N438" s="7">
        <v>46023</v>
      </c>
      <c r="O438" s="6">
        <v>-3000</v>
      </c>
      <c r="P438" t="s">
        <v>305</v>
      </c>
      <c r="Q438" t="s">
        <v>157</v>
      </c>
      <c r="R438" t="s">
        <v>30</v>
      </c>
      <c r="S438" t="s">
        <v>145</v>
      </c>
    </row>
    <row r="439" spans="1:19" x14ac:dyDescent="0.25">
      <c r="A439" t="s">
        <v>27</v>
      </c>
      <c r="B439" t="s">
        <v>27</v>
      </c>
      <c r="C439" t="s">
        <v>27</v>
      </c>
      <c r="D439" s="7">
        <v>45658</v>
      </c>
      <c r="E439" s="6">
        <v>-1000</v>
      </c>
      <c r="F439" t="s">
        <v>192</v>
      </c>
      <c r="G439" t="s">
        <v>193</v>
      </c>
      <c r="H439" t="s">
        <v>30</v>
      </c>
      <c r="I439" t="s">
        <v>145</v>
      </c>
      <c r="K439" t="s">
        <v>27</v>
      </c>
      <c r="L439" t="s">
        <v>27</v>
      </c>
      <c r="M439" t="s">
        <v>27</v>
      </c>
      <c r="N439" s="7">
        <v>45689</v>
      </c>
      <c r="O439" s="6">
        <v>-2200</v>
      </c>
      <c r="P439" t="s">
        <v>306</v>
      </c>
      <c r="Q439" t="s">
        <v>159</v>
      </c>
      <c r="R439" t="s">
        <v>30</v>
      </c>
      <c r="S439" t="s">
        <v>145</v>
      </c>
    </row>
    <row r="440" spans="1:19" x14ac:dyDescent="0.25">
      <c r="A440" t="s">
        <v>27</v>
      </c>
      <c r="B440" t="s">
        <v>27</v>
      </c>
      <c r="C440" t="s">
        <v>27</v>
      </c>
      <c r="D440" s="7">
        <v>45689</v>
      </c>
      <c r="E440" s="6">
        <v>-1000</v>
      </c>
      <c r="F440" t="s">
        <v>192</v>
      </c>
      <c r="G440" t="s">
        <v>193</v>
      </c>
      <c r="H440" t="s">
        <v>30</v>
      </c>
      <c r="I440" t="s">
        <v>145</v>
      </c>
      <c r="K440" t="s">
        <v>27</v>
      </c>
      <c r="L440" t="s">
        <v>27</v>
      </c>
      <c r="M440" t="s">
        <v>27</v>
      </c>
      <c r="N440" s="7">
        <v>45717</v>
      </c>
      <c r="O440" s="6">
        <v>-2200</v>
      </c>
      <c r="P440" t="s">
        <v>307</v>
      </c>
      <c r="Q440" t="s">
        <v>159</v>
      </c>
      <c r="R440" t="s">
        <v>30</v>
      </c>
      <c r="S440" t="s">
        <v>145</v>
      </c>
    </row>
    <row r="441" spans="1:19" x14ac:dyDescent="0.25">
      <c r="A441" t="s">
        <v>27</v>
      </c>
      <c r="B441" t="s">
        <v>27</v>
      </c>
      <c r="C441" t="s">
        <v>27</v>
      </c>
      <c r="D441" s="7">
        <v>45717</v>
      </c>
      <c r="E441" s="6">
        <v>-1000</v>
      </c>
      <c r="F441" t="s">
        <v>192</v>
      </c>
      <c r="G441" t="s">
        <v>193</v>
      </c>
      <c r="H441" t="s">
        <v>30</v>
      </c>
      <c r="I441" t="s">
        <v>145</v>
      </c>
      <c r="K441" t="s">
        <v>27</v>
      </c>
      <c r="L441" t="s">
        <v>27</v>
      </c>
      <c r="M441" t="s">
        <v>27</v>
      </c>
      <c r="N441" s="7">
        <v>45748</v>
      </c>
      <c r="O441" s="6">
        <v>-2200</v>
      </c>
      <c r="P441" t="s">
        <v>308</v>
      </c>
      <c r="Q441" t="s">
        <v>159</v>
      </c>
      <c r="R441" t="s">
        <v>30</v>
      </c>
      <c r="S441" t="s">
        <v>145</v>
      </c>
    </row>
    <row r="442" spans="1:19" x14ac:dyDescent="0.25">
      <c r="A442" t="s">
        <v>27</v>
      </c>
      <c r="B442" t="s">
        <v>27</v>
      </c>
      <c r="C442" t="s">
        <v>27</v>
      </c>
      <c r="D442" s="7">
        <v>45748</v>
      </c>
      <c r="E442" s="6">
        <v>-1000</v>
      </c>
      <c r="F442" t="s">
        <v>192</v>
      </c>
      <c r="G442" t="s">
        <v>193</v>
      </c>
      <c r="H442" t="s">
        <v>30</v>
      </c>
      <c r="I442" t="s">
        <v>145</v>
      </c>
      <c r="K442" t="s">
        <v>27</v>
      </c>
      <c r="L442" t="s">
        <v>27</v>
      </c>
      <c r="M442" t="s">
        <v>27</v>
      </c>
      <c r="N442" s="7">
        <v>45778</v>
      </c>
      <c r="O442" s="6">
        <v>-2200</v>
      </c>
      <c r="P442" t="s">
        <v>309</v>
      </c>
      <c r="Q442" t="s">
        <v>159</v>
      </c>
      <c r="R442" t="s">
        <v>30</v>
      </c>
      <c r="S442" t="s">
        <v>145</v>
      </c>
    </row>
    <row r="443" spans="1:19" x14ac:dyDescent="0.25">
      <c r="A443" t="s">
        <v>27</v>
      </c>
      <c r="B443" t="s">
        <v>27</v>
      </c>
      <c r="C443" t="s">
        <v>27</v>
      </c>
      <c r="D443" s="7">
        <v>45778</v>
      </c>
      <c r="E443" s="6">
        <v>-1000</v>
      </c>
      <c r="F443" t="s">
        <v>192</v>
      </c>
      <c r="G443" t="s">
        <v>193</v>
      </c>
      <c r="H443" t="s">
        <v>30</v>
      </c>
      <c r="I443" t="s">
        <v>145</v>
      </c>
      <c r="K443" t="s">
        <v>27</v>
      </c>
      <c r="L443" t="s">
        <v>27</v>
      </c>
      <c r="M443" t="s">
        <v>27</v>
      </c>
      <c r="N443" s="7">
        <v>45809</v>
      </c>
      <c r="O443" s="6">
        <v>-2200</v>
      </c>
      <c r="P443" t="s">
        <v>310</v>
      </c>
      <c r="Q443" t="s">
        <v>159</v>
      </c>
      <c r="R443" t="s">
        <v>30</v>
      </c>
      <c r="S443" t="s">
        <v>145</v>
      </c>
    </row>
    <row r="444" spans="1:19" x14ac:dyDescent="0.25">
      <c r="A444" t="s">
        <v>27</v>
      </c>
      <c r="B444" t="s">
        <v>27</v>
      </c>
      <c r="C444" t="s">
        <v>27</v>
      </c>
      <c r="D444" s="7">
        <v>45809</v>
      </c>
      <c r="E444" s="6">
        <v>-1000</v>
      </c>
      <c r="F444" t="s">
        <v>192</v>
      </c>
      <c r="G444" t="s">
        <v>193</v>
      </c>
      <c r="H444" t="s">
        <v>30</v>
      </c>
      <c r="I444" t="s">
        <v>145</v>
      </c>
      <c r="K444" t="s">
        <v>27</v>
      </c>
      <c r="L444" t="s">
        <v>27</v>
      </c>
      <c r="M444" t="s">
        <v>27</v>
      </c>
      <c r="N444" s="7">
        <v>45839</v>
      </c>
      <c r="O444" s="6">
        <v>-2200</v>
      </c>
      <c r="P444" t="s">
        <v>311</v>
      </c>
      <c r="Q444" t="s">
        <v>159</v>
      </c>
      <c r="R444" t="s">
        <v>30</v>
      </c>
      <c r="S444" t="s">
        <v>145</v>
      </c>
    </row>
    <row r="445" spans="1:19" x14ac:dyDescent="0.25">
      <c r="A445" t="s">
        <v>27</v>
      </c>
      <c r="B445" t="s">
        <v>27</v>
      </c>
      <c r="C445" t="s">
        <v>27</v>
      </c>
      <c r="D445" s="7">
        <v>45839</v>
      </c>
      <c r="E445" s="6">
        <v>-1000</v>
      </c>
      <c r="F445" t="s">
        <v>192</v>
      </c>
      <c r="G445" t="s">
        <v>193</v>
      </c>
      <c r="H445" t="s">
        <v>30</v>
      </c>
      <c r="I445" t="s">
        <v>145</v>
      </c>
      <c r="K445" t="s">
        <v>27</v>
      </c>
      <c r="L445" t="s">
        <v>27</v>
      </c>
      <c r="M445" t="s">
        <v>27</v>
      </c>
      <c r="N445" s="7">
        <v>45870</v>
      </c>
      <c r="O445" s="6">
        <v>-2200</v>
      </c>
      <c r="P445" t="s">
        <v>312</v>
      </c>
      <c r="Q445" t="s">
        <v>159</v>
      </c>
      <c r="R445" t="s">
        <v>30</v>
      </c>
      <c r="S445" t="s">
        <v>145</v>
      </c>
    </row>
    <row r="446" spans="1:19" x14ac:dyDescent="0.25">
      <c r="A446" t="s">
        <v>27</v>
      </c>
      <c r="B446" t="s">
        <v>27</v>
      </c>
      <c r="C446" t="s">
        <v>27</v>
      </c>
      <c r="D446" s="7">
        <v>45870</v>
      </c>
      <c r="E446" s="6">
        <v>-1000</v>
      </c>
      <c r="F446" t="s">
        <v>192</v>
      </c>
      <c r="G446" t="s">
        <v>193</v>
      </c>
      <c r="H446" t="s">
        <v>30</v>
      </c>
      <c r="I446" t="s">
        <v>145</v>
      </c>
      <c r="K446" t="s">
        <v>27</v>
      </c>
      <c r="L446" t="s">
        <v>27</v>
      </c>
      <c r="M446" t="s">
        <v>27</v>
      </c>
      <c r="N446" s="7">
        <v>45901</v>
      </c>
      <c r="O446" s="6">
        <v>-2200</v>
      </c>
      <c r="P446" t="s">
        <v>313</v>
      </c>
      <c r="Q446" t="s">
        <v>159</v>
      </c>
      <c r="R446" t="s">
        <v>30</v>
      </c>
      <c r="S446" t="s">
        <v>145</v>
      </c>
    </row>
    <row r="447" spans="1:19" x14ac:dyDescent="0.25">
      <c r="A447" t="s">
        <v>27</v>
      </c>
      <c r="B447" t="s">
        <v>27</v>
      </c>
      <c r="C447" t="s">
        <v>27</v>
      </c>
      <c r="D447" s="7">
        <v>45901</v>
      </c>
      <c r="E447" s="6">
        <v>-1000</v>
      </c>
      <c r="F447" t="s">
        <v>192</v>
      </c>
      <c r="G447" t="s">
        <v>193</v>
      </c>
      <c r="H447" t="s">
        <v>30</v>
      </c>
      <c r="I447" t="s">
        <v>145</v>
      </c>
      <c r="K447" t="s">
        <v>27</v>
      </c>
      <c r="L447" t="s">
        <v>27</v>
      </c>
      <c r="M447" t="s">
        <v>27</v>
      </c>
      <c r="N447" s="7">
        <v>45931</v>
      </c>
      <c r="O447" s="6">
        <v>-2200</v>
      </c>
      <c r="P447" t="s">
        <v>314</v>
      </c>
      <c r="Q447" t="s">
        <v>159</v>
      </c>
      <c r="R447" t="s">
        <v>30</v>
      </c>
      <c r="S447" t="s">
        <v>145</v>
      </c>
    </row>
    <row r="448" spans="1:19" x14ac:dyDescent="0.25">
      <c r="A448" t="s">
        <v>27</v>
      </c>
      <c r="B448" t="s">
        <v>27</v>
      </c>
      <c r="C448" t="s">
        <v>27</v>
      </c>
      <c r="D448" s="7">
        <v>45931</v>
      </c>
      <c r="E448" s="6">
        <v>-1000</v>
      </c>
      <c r="F448" t="s">
        <v>192</v>
      </c>
      <c r="G448" t="s">
        <v>193</v>
      </c>
      <c r="H448" t="s">
        <v>30</v>
      </c>
      <c r="I448" t="s">
        <v>145</v>
      </c>
      <c r="K448" t="s">
        <v>27</v>
      </c>
      <c r="L448" t="s">
        <v>27</v>
      </c>
      <c r="M448" t="s">
        <v>27</v>
      </c>
      <c r="N448" s="7">
        <v>45962</v>
      </c>
      <c r="O448" s="6">
        <v>-2200</v>
      </c>
      <c r="P448" t="s">
        <v>315</v>
      </c>
      <c r="Q448" t="s">
        <v>159</v>
      </c>
      <c r="R448" t="s">
        <v>30</v>
      </c>
      <c r="S448" t="s">
        <v>145</v>
      </c>
    </row>
    <row r="449" spans="1:19" x14ac:dyDescent="0.25">
      <c r="A449" t="s">
        <v>27</v>
      </c>
      <c r="B449" t="s">
        <v>27</v>
      </c>
      <c r="C449" t="s">
        <v>27</v>
      </c>
      <c r="D449" s="7">
        <v>45962</v>
      </c>
      <c r="E449" s="6">
        <v>-1000</v>
      </c>
      <c r="F449" t="s">
        <v>192</v>
      </c>
      <c r="G449" t="s">
        <v>193</v>
      </c>
      <c r="H449" t="s">
        <v>30</v>
      </c>
      <c r="I449" t="s">
        <v>145</v>
      </c>
      <c r="K449" t="s">
        <v>27</v>
      </c>
      <c r="L449" t="s">
        <v>27</v>
      </c>
      <c r="M449" t="s">
        <v>27</v>
      </c>
      <c r="N449" s="7">
        <v>45992</v>
      </c>
      <c r="O449" s="6">
        <v>-2200</v>
      </c>
      <c r="P449" t="s">
        <v>316</v>
      </c>
      <c r="Q449" t="s">
        <v>159</v>
      </c>
      <c r="R449" t="s">
        <v>30</v>
      </c>
      <c r="S449" t="s">
        <v>145</v>
      </c>
    </row>
    <row r="450" spans="1:19" x14ac:dyDescent="0.25">
      <c r="A450" t="s">
        <v>27</v>
      </c>
      <c r="B450" t="s">
        <v>27</v>
      </c>
      <c r="C450" t="s">
        <v>27</v>
      </c>
      <c r="D450" s="7">
        <v>45992</v>
      </c>
      <c r="E450" s="6">
        <v>-1000</v>
      </c>
      <c r="F450" t="s">
        <v>192</v>
      </c>
      <c r="G450" t="s">
        <v>193</v>
      </c>
      <c r="H450" t="s">
        <v>30</v>
      </c>
      <c r="I450" t="s">
        <v>145</v>
      </c>
      <c r="K450" t="s">
        <v>27</v>
      </c>
      <c r="L450" t="s">
        <v>27</v>
      </c>
      <c r="M450" t="s">
        <v>27</v>
      </c>
      <c r="N450" s="7">
        <v>46023</v>
      </c>
      <c r="O450" s="6">
        <v>-2200</v>
      </c>
      <c r="P450" t="s">
        <v>317</v>
      </c>
      <c r="Q450" t="s">
        <v>159</v>
      </c>
      <c r="R450" t="s">
        <v>30</v>
      </c>
      <c r="S450" t="s">
        <v>145</v>
      </c>
    </row>
    <row r="451" spans="1:19" x14ac:dyDescent="0.25">
      <c r="A451" t="s">
        <v>27</v>
      </c>
      <c r="B451" t="s">
        <v>27</v>
      </c>
      <c r="C451" t="s">
        <v>27</v>
      </c>
      <c r="D451" s="7">
        <v>45658</v>
      </c>
      <c r="E451" s="6">
        <v>-2300</v>
      </c>
      <c r="F451" t="s">
        <v>194</v>
      </c>
      <c r="G451" t="s">
        <v>195</v>
      </c>
      <c r="H451" t="s">
        <v>30</v>
      </c>
      <c r="I451" t="s">
        <v>145</v>
      </c>
      <c r="K451" t="s">
        <v>27</v>
      </c>
      <c r="L451" t="s">
        <v>27</v>
      </c>
      <c r="M451" t="s">
        <v>27</v>
      </c>
      <c r="N451" s="7">
        <v>45658</v>
      </c>
      <c r="O451" s="6">
        <v>-1000</v>
      </c>
      <c r="P451" t="s">
        <v>318</v>
      </c>
      <c r="Q451" t="s">
        <v>161</v>
      </c>
      <c r="R451" t="s">
        <v>30</v>
      </c>
      <c r="S451" t="s">
        <v>145</v>
      </c>
    </row>
    <row r="452" spans="1:19" x14ac:dyDescent="0.25">
      <c r="A452" t="s">
        <v>27</v>
      </c>
      <c r="B452" t="s">
        <v>27</v>
      </c>
      <c r="C452" t="s">
        <v>27</v>
      </c>
      <c r="D452" s="7">
        <v>45689</v>
      </c>
      <c r="E452" s="6">
        <v>-2300</v>
      </c>
      <c r="F452" t="s">
        <v>194</v>
      </c>
      <c r="G452" t="s">
        <v>195</v>
      </c>
      <c r="H452" t="s">
        <v>30</v>
      </c>
      <c r="I452" t="s">
        <v>145</v>
      </c>
      <c r="K452" t="s">
        <v>27</v>
      </c>
      <c r="L452" t="s">
        <v>27</v>
      </c>
      <c r="M452" t="s">
        <v>27</v>
      </c>
      <c r="N452" s="7">
        <v>45689</v>
      </c>
      <c r="O452" s="6">
        <v>-1000</v>
      </c>
      <c r="P452" t="s">
        <v>319</v>
      </c>
      <c r="Q452" t="s">
        <v>161</v>
      </c>
      <c r="R452" t="s">
        <v>30</v>
      </c>
      <c r="S452" t="s">
        <v>145</v>
      </c>
    </row>
    <row r="453" spans="1:19" x14ac:dyDescent="0.25">
      <c r="A453" t="s">
        <v>27</v>
      </c>
      <c r="B453" t="s">
        <v>27</v>
      </c>
      <c r="C453" t="s">
        <v>27</v>
      </c>
      <c r="D453" s="7">
        <v>45717</v>
      </c>
      <c r="E453" s="6">
        <v>-2300</v>
      </c>
      <c r="F453" t="s">
        <v>194</v>
      </c>
      <c r="G453" t="s">
        <v>195</v>
      </c>
      <c r="H453" t="s">
        <v>30</v>
      </c>
      <c r="I453" t="s">
        <v>145</v>
      </c>
      <c r="K453" t="s">
        <v>27</v>
      </c>
      <c r="L453" t="s">
        <v>27</v>
      </c>
      <c r="M453" t="s">
        <v>27</v>
      </c>
      <c r="N453" s="7">
        <v>45717</v>
      </c>
      <c r="O453" s="6">
        <v>-1000</v>
      </c>
      <c r="P453" t="s">
        <v>320</v>
      </c>
      <c r="Q453" t="s">
        <v>161</v>
      </c>
      <c r="R453" t="s">
        <v>30</v>
      </c>
      <c r="S453" t="s">
        <v>145</v>
      </c>
    </row>
    <row r="454" spans="1:19" x14ac:dyDescent="0.25">
      <c r="A454" t="s">
        <v>27</v>
      </c>
      <c r="B454" t="s">
        <v>27</v>
      </c>
      <c r="C454" t="s">
        <v>27</v>
      </c>
      <c r="D454" s="7">
        <v>45748</v>
      </c>
      <c r="E454" s="6">
        <v>-2300</v>
      </c>
      <c r="F454" t="s">
        <v>194</v>
      </c>
      <c r="G454" t="s">
        <v>195</v>
      </c>
      <c r="H454" t="s">
        <v>30</v>
      </c>
      <c r="I454" t="s">
        <v>145</v>
      </c>
      <c r="K454" t="s">
        <v>27</v>
      </c>
      <c r="L454" t="s">
        <v>27</v>
      </c>
      <c r="M454" t="s">
        <v>27</v>
      </c>
      <c r="N454" s="7">
        <v>45748</v>
      </c>
      <c r="O454" s="6">
        <v>-1000</v>
      </c>
      <c r="P454" t="s">
        <v>321</v>
      </c>
      <c r="Q454" t="s">
        <v>161</v>
      </c>
      <c r="R454" t="s">
        <v>30</v>
      </c>
      <c r="S454" t="s">
        <v>145</v>
      </c>
    </row>
    <row r="455" spans="1:19" x14ac:dyDescent="0.25">
      <c r="A455" t="s">
        <v>27</v>
      </c>
      <c r="B455" t="s">
        <v>27</v>
      </c>
      <c r="C455" t="s">
        <v>27</v>
      </c>
      <c r="D455" s="7">
        <v>45778</v>
      </c>
      <c r="E455" s="6">
        <v>-2300</v>
      </c>
      <c r="F455" t="s">
        <v>194</v>
      </c>
      <c r="G455" t="s">
        <v>195</v>
      </c>
      <c r="H455" t="s">
        <v>30</v>
      </c>
      <c r="I455" t="s">
        <v>145</v>
      </c>
      <c r="K455" t="s">
        <v>27</v>
      </c>
      <c r="L455" t="s">
        <v>27</v>
      </c>
      <c r="M455" t="s">
        <v>27</v>
      </c>
      <c r="N455" s="7">
        <v>45778</v>
      </c>
      <c r="O455" s="6">
        <v>-1000</v>
      </c>
      <c r="P455" t="s">
        <v>322</v>
      </c>
      <c r="Q455" t="s">
        <v>161</v>
      </c>
      <c r="R455" t="s">
        <v>30</v>
      </c>
      <c r="S455" t="s">
        <v>145</v>
      </c>
    </row>
    <row r="456" spans="1:19" x14ac:dyDescent="0.25">
      <c r="A456" t="s">
        <v>27</v>
      </c>
      <c r="B456" t="s">
        <v>27</v>
      </c>
      <c r="C456" t="s">
        <v>27</v>
      </c>
      <c r="D456" s="7">
        <v>45809</v>
      </c>
      <c r="E456" s="6">
        <v>-2300</v>
      </c>
      <c r="F456" t="s">
        <v>194</v>
      </c>
      <c r="G456" t="s">
        <v>195</v>
      </c>
      <c r="H456" t="s">
        <v>30</v>
      </c>
      <c r="I456" t="s">
        <v>145</v>
      </c>
      <c r="K456" t="s">
        <v>27</v>
      </c>
      <c r="L456" t="s">
        <v>27</v>
      </c>
      <c r="M456" t="s">
        <v>27</v>
      </c>
      <c r="N456" s="7">
        <v>45809</v>
      </c>
      <c r="O456" s="6">
        <v>-1000</v>
      </c>
      <c r="P456" t="s">
        <v>323</v>
      </c>
      <c r="Q456" t="s">
        <v>161</v>
      </c>
      <c r="R456" t="s">
        <v>30</v>
      </c>
      <c r="S456" t="s">
        <v>145</v>
      </c>
    </row>
    <row r="457" spans="1:19" x14ac:dyDescent="0.25">
      <c r="A457" t="s">
        <v>27</v>
      </c>
      <c r="B457" t="s">
        <v>27</v>
      </c>
      <c r="C457" t="s">
        <v>27</v>
      </c>
      <c r="D457" s="7">
        <v>45839</v>
      </c>
      <c r="E457" s="6">
        <v>-2300</v>
      </c>
      <c r="F457" t="s">
        <v>194</v>
      </c>
      <c r="G457" t="s">
        <v>195</v>
      </c>
      <c r="H457" t="s">
        <v>30</v>
      </c>
      <c r="I457" t="s">
        <v>145</v>
      </c>
      <c r="K457" t="s">
        <v>27</v>
      </c>
      <c r="L457" t="s">
        <v>27</v>
      </c>
      <c r="M457" t="s">
        <v>27</v>
      </c>
      <c r="N457" s="7">
        <v>45839</v>
      </c>
      <c r="O457" s="6">
        <v>-1000</v>
      </c>
      <c r="P457" t="s">
        <v>324</v>
      </c>
      <c r="Q457" t="s">
        <v>161</v>
      </c>
      <c r="R457" t="s">
        <v>30</v>
      </c>
      <c r="S457" t="s">
        <v>145</v>
      </c>
    </row>
    <row r="458" spans="1:19" x14ac:dyDescent="0.25">
      <c r="A458" t="s">
        <v>27</v>
      </c>
      <c r="B458" t="s">
        <v>27</v>
      </c>
      <c r="C458" t="s">
        <v>27</v>
      </c>
      <c r="D458" s="7">
        <v>45870</v>
      </c>
      <c r="E458" s="6">
        <v>-2300</v>
      </c>
      <c r="F458" t="s">
        <v>194</v>
      </c>
      <c r="G458" t="s">
        <v>195</v>
      </c>
      <c r="H458" t="s">
        <v>30</v>
      </c>
      <c r="I458" t="s">
        <v>145</v>
      </c>
      <c r="K458" t="s">
        <v>27</v>
      </c>
      <c r="L458" t="s">
        <v>27</v>
      </c>
      <c r="M458" t="s">
        <v>27</v>
      </c>
      <c r="N458" s="7">
        <v>45870</v>
      </c>
      <c r="O458" s="6">
        <v>-1000</v>
      </c>
      <c r="P458" t="s">
        <v>325</v>
      </c>
      <c r="Q458" t="s">
        <v>161</v>
      </c>
      <c r="R458" t="s">
        <v>30</v>
      </c>
      <c r="S458" t="s">
        <v>145</v>
      </c>
    </row>
    <row r="459" spans="1:19" x14ac:dyDescent="0.25">
      <c r="A459" t="s">
        <v>27</v>
      </c>
      <c r="B459" t="s">
        <v>27</v>
      </c>
      <c r="C459" t="s">
        <v>27</v>
      </c>
      <c r="D459" s="7">
        <v>45901</v>
      </c>
      <c r="E459" s="6">
        <v>-2300</v>
      </c>
      <c r="F459" t="s">
        <v>194</v>
      </c>
      <c r="G459" t="s">
        <v>195</v>
      </c>
      <c r="H459" t="s">
        <v>30</v>
      </c>
      <c r="I459" t="s">
        <v>145</v>
      </c>
      <c r="K459" t="s">
        <v>27</v>
      </c>
      <c r="L459" t="s">
        <v>27</v>
      </c>
      <c r="M459" t="s">
        <v>27</v>
      </c>
      <c r="N459" s="7">
        <v>45901</v>
      </c>
      <c r="O459" s="6">
        <v>-1000</v>
      </c>
      <c r="P459" t="s">
        <v>326</v>
      </c>
      <c r="Q459" t="s">
        <v>161</v>
      </c>
      <c r="R459" t="s">
        <v>30</v>
      </c>
      <c r="S459" t="s">
        <v>145</v>
      </c>
    </row>
    <row r="460" spans="1:19" x14ac:dyDescent="0.25">
      <c r="A460" t="s">
        <v>27</v>
      </c>
      <c r="B460" t="s">
        <v>27</v>
      </c>
      <c r="C460" t="s">
        <v>27</v>
      </c>
      <c r="D460" s="7">
        <v>45931</v>
      </c>
      <c r="E460" s="6">
        <v>-2300</v>
      </c>
      <c r="F460" t="s">
        <v>194</v>
      </c>
      <c r="G460" t="s">
        <v>195</v>
      </c>
      <c r="H460" t="s">
        <v>30</v>
      </c>
      <c r="I460" t="s">
        <v>145</v>
      </c>
      <c r="K460" t="s">
        <v>27</v>
      </c>
      <c r="L460" t="s">
        <v>27</v>
      </c>
      <c r="M460" t="s">
        <v>27</v>
      </c>
      <c r="N460" s="7">
        <v>45931</v>
      </c>
      <c r="O460" s="6">
        <v>-1000</v>
      </c>
      <c r="P460" t="s">
        <v>327</v>
      </c>
      <c r="Q460" t="s">
        <v>161</v>
      </c>
      <c r="R460" t="s">
        <v>30</v>
      </c>
      <c r="S460" t="s">
        <v>145</v>
      </c>
    </row>
    <row r="461" spans="1:19" x14ac:dyDescent="0.25">
      <c r="A461" t="s">
        <v>27</v>
      </c>
      <c r="B461" t="s">
        <v>27</v>
      </c>
      <c r="C461" t="s">
        <v>27</v>
      </c>
      <c r="D461" s="7">
        <v>45962</v>
      </c>
      <c r="E461" s="6">
        <v>-2300</v>
      </c>
      <c r="F461" t="s">
        <v>194</v>
      </c>
      <c r="G461" t="s">
        <v>195</v>
      </c>
      <c r="H461" t="s">
        <v>30</v>
      </c>
      <c r="I461" t="s">
        <v>145</v>
      </c>
      <c r="K461" t="s">
        <v>27</v>
      </c>
      <c r="L461" t="s">
        <v>27</v>
      </c>
      <c r="M461" t="s">
        <v>27</v>
      </c>
      <c r="N461" s="7">
        <v>45962</v>
      </c>
      <c r="O461" s="6">
        <v>-1000</v>
      </c>
      <c r="P461" t="s">
        <v>328</v>
      </c>
      <c r="Q461" t="s">
        <v>161</v>
      </c>
      <c r="R461" t="s">
        <v>30</v>
      </c>
      <c r="S461" t="s">
        <v>145</v>
      </c>
    </row>
    <row r="462" spans="1:19" x14ac:dyDescent="0.25">
      <c r="A462" t="s">
        <v>27</v>
      </c>
      <c r="B462" t="s">
        <v>27</v>
      </c>
      <c r="C462" t="s">
        <v>27</v>
      </c>
      <c r="D462" s="7">
        <v>45992</v>
      </c>
      <c r="E462" s="6">
        <v>-2300</v>
      </c>
      <c r="F462" t="s">
        <v>194</v>
      </c>
      <c r="G462" t="s">
        <v>195</v>
      </c>
      <c r="H462" t="s">
        <v>30</v>
      </c>
      <c r="I462" t="s">
        <v>145</v>
      </c>
      <c r="K462" t="s">
        <v>27</v>
      </c>
      <c r="L462" t="s">
        <v>27</v>
      </c>
      <c r="M462" t="s">
        <v>27</v>
      </c>
      <c r="N462" s="7">
        <v>45992</v>
      </c>
      <c r="O462" s="6">
        <v>-1000</v>
      </c>
      <c r="P462" t="s">
        <v>329</v>
      </c>
      <c r="Q462" t="s">
        <v>161</v>
      </c>
      <c r="R462" t="s">
        <v>30</v>
      </c>
      <c r="S462" t="s">
        <v>145</v>
      </c>
    </row>
    <row r="463" spans="1:19" x14ac:dyDescent="0.25">
      <c r="A463" t="s">
        <v>27</v>
      </c>
      <c r="B463" t="s">
        <v>27</v>
      </c>
      <c r="C463" t="s">
        <v>27</v>
      </c>
      <c r="D463" s="7">
        <v>45658</v>
      </c>
      <c r="E463" s="6">
        <v>-7500</v>
      </c>
      <c r="F463" t="s">
        <v>196</v>
      </c>
      <c r="G463" t="s">
        <v>197</v>
      </c>
      <c r="H463" t="s">
        <v>30</v>
      </c>
      <c r="I463" t="s">
        <v>145</v>
      </c>
      <c r="K463" t="s">
        <v>27</v>
      </c>
      <c r="L463" t="s">
        <v>27</v>
      </c>
      <c r="M463" t="s">
        <v>27</v>
      </c>
      <c r="N463" s="7">
        <v>45658</v>
      </c>
      <c r="O463" s="6">
        <v>-700</v>
      </c>
      <c r="P463" t="s">
        <v>330</v>
      </c>
      <c r="Q463" t="s">
        <v>163</v>
      </c>
      <c r="R463" t="s">
        <v>30</v>
      </c>
      <c r="S463" t="s">
        <v>145</v>
      </c>
    </row>
    <row r="464" spans="1:19" x14ac:dyDescent="0.25">
      <c r="A464" t="s">
        <v>27</v>
      </c>
      <c r="B464" t="s">
        <v>27</v>
      </c>
      <c r="C464" t="s">
        <v>27</v>
      </c>
      <c r="D464" s="7">
        <v>45689</v>
      </c>
      <c r="E464" s="6">
        <v>-7500</v>
      </c>
      <c r="F464" t="s">
        <v>196</v>
      </c>
      <c r="G464" t="s">
        <v>197</v>
      </c>
      <c r="H464" t="s">
        <v>30</v>
      </c>
      <c r="I464" t="s">
        <v>145</v>
      </c>
      <c r="K464" t="s">
        <v>27</v>
      </c>
      <c r="L464" t="s">
        <v>27</v>
      </c>
      <c r="M464" t="s">
        <v>27</v>
      </c>
      <c r="N464" s="7">
        <v>45689</v>
      </c>
      <c r="O464" s="6">
        <v>-700</v>
      </c>
      <c r="P464" t="s">
        <v>331</v>
      </c>
      <c r="Q464" t="s">
        <v>163</v>
      </c>
      <c r="R464" t="s">
        <v>30</v>
      </c>
      <c r="S464" t="s">
        <v>145</v>
      </c>
    </row>
    <row r="465" spans="1:19" x14ac:dyDescent="0.25">
      <c r="A465" t="s">
        <v>27</v>
      </c>
      <c r="B465" t="s">
        <v>27</v>
      </c>
      <c r="C465" t="s">
        <v>27</v>
      </c>
      <c r="D465" s="7">
        <v>45717</v>
      </c>
      <c r="E465" s="6">
        <v>-7500</v>
      </c>
      <c r="F465" t="s">
        <v>196</v>
      </c>
      <c r="G465" t="s">
        <v>197</v>
      </c>
      <c r="H465" t="s">
        <v>30</v>
      </c>
      <c r="I465" t="s">
        <v>145</v>
      </c>
      <c r="K465" t="s">
        <v>27</v>
      </c>
      <c r="L465" t="s">
        <v>27</v>
      </c>
      <c r="M465" t="s">
        <v>27</v>
      </c>
      <c r="N465" s="7">
        <v>45717</v>
      </c>
      <c r="O465" s="6">
        <v>-700</v>
      </c>
      <c r="P465" t="s">
        <v>332</v>
      </c>
      <c r="Q465" t="s">
        <v>163</v>
      </c>
      <c r="R465" t="s">
        <v>30</v>
      </c>
      <c r="S465" t="s">
        <v>145</v>
      </c>
    </row>
    <row r="466" spans="1:19" x14ac:dyDescent="0.25">
      <c r="A466" t="s">
        <v>27</v>
      </c>
      <c r="B466" t="s">
        <v>27</v>
      </c>
      <c r="C466" t="s">
        <v>27</v>
      </c>
      <c r="D466" s="7">
        <v>45748</v>
      </c>
      <c r="E466" s="6">
        <v>-7500</v>
      </c>
      <c r="F466" t="s">
        <v>196</v>
      </c>
      <c r="G466" t="s">
        <v>197</v>
      </c>
      <c r="H466" t="s">
        <v>30</v>
      </c>
      <c r="I466" t="s">
        <v>145</v>
      </c>
      <c r="K466" t="s">
        <v>27</v>
      </c>
      <c r="L466" t="s">
        <v>27</v>
      </c>
      <c r="M466" t="s">
        <v>27</v>
      </c>
      <c r="N466" s="7">
        <v>45748</v>
      </c>
      <c r="O466" s="6">
        <v>-700</v>
      </c>
      <c r="P466" t="s">
        <v>333</v>
      </c>
      <c r="Q466" t="s">
        <v>163</v>
      </c>
      <c r="R466" t="s">
        <v>30</v>
      </c>
      <c r="S466" t="s">
        <v>145</v>
      </c>
    </row>
    <row r="467" spans="1:19" x14ac:dyDescent="0.25">
      <c r="A467" t="s">
        <v>27</v>
      </c>
      <c r="B467" t="s">
        <v>27</v>
      </c>
      <c r="C467" t="s">
        <v>27</v>
      </c>
      <c r="D467" s="7">
        <v>45778</v>
      </c>
      <c r="E467" s="6">
        <v>-7500</v>
      </c>
      <c r="F467" t="s">
        <v>196</v>
      </c>
      <c r="G467" t="s">
        <v>197</v>
      </c>
      <c r="H467" t="s">
        <v>30</v>
      </c>
      <c r="I467" t="s">
        <v>145</v>
      </c>
      <c r="K467" t="s">
        <v>27</v>
      </c>
      <c r="L467" t="s">
        <v>27</v>
      </c>
      <c r="M467" t="s">
        <v>27</v>
      </c>
      <c r="N467" s="7">
        <v>45778</v>
      </c>
      <c r="O467" s="6">
        <v>-700</v>
      </c>
      <c r="P467" t="s">
        <v>334</v>
      </c>
      <c r="Q467" t="s">
        <v>163</v>
      </c>
      <c r="R467" t="s">
        <v>30</v>
      </c>
      <c r="S467" t="s">
        <v>145</v>
      </c>
    </row>
    <row r="468" spans="1:19" x14ac:dyDescent="0.25">
      <c r="A468" t="s">
        <v>27</v>
      </c>
      <c r="B468" t="s">
        <v>27</v>
      </c>
      <c r="C468" t="s">
        <v>27</v>
      </c>
      <c r="D468" s="7">
        <v>45809</v>
      </c>
      <c r="E468" s="6">
        <v>-7500</v>
      </c>
      <c r="F468" t="s">
        <v>196</v>
      </c>
      <c r="G468" t="s">
        <v>197</v>
      </c>
      <c r="H468" t="s">
        <v>30</v>
      </c>
      <c r="I468" t="s">
        <v>145</v>
      </c>
      <c r="K468" t="s">
        <v>27</v>
      </c>
      <c r="L468" t="s">
        <v>27</v>
      </c>
      <c r="M468" t="s">
        <v>27</v>
      </c>
      <c r="N468" s="7">
        <v>45809</v>
      </c>
      <c r="O468" s="6">
        <v>-700</v>
      </c>
      <c r="P468" t="s">
        <v>335</v>
      </c>
      <c r="Q468" t="s">
        <v>163</v>
      </c>
      <c r="R468" t="s">
        <v>30</v>
      </c>
      <c r="S468" t="s">
        <v>145</v>
      </c>
    </row>
    <row r="469" spans="1:19" x14ac:dyDescent="0.25">
      <c r="A469" t="s">
        <v>27</v>
      </c>
      <c r="B469" t="s">
        <v>27</v>
      </c>
      <c r="C469" t="s">
        <v>27</v>
      </c>
      <c r="D469" s="7">
        <v>45839</v>
      </c>
      <c r="E469" s="6">
        <v>-7500</v>
      </c>
      <c r="F469" t="s">
        <v>196</v>
      </c>
      <c r="G469" t="s">
        <v>197</v>
      </c>
      <c r="H469" t="s">
        <v>30</v>
      </c>
      <c r="I469" t="s">
        <v>145</v>
      </c>
      <c r="K469" t="s">
        <v>27</v>
      </c>
      <c r="L469" t="s">
        <v>27</v>
      </c>
      <c r="M469" t="s">
        <v>27</v>
      </c>
      <c r="N469" s="7">
        <v>45839</v>
      </c>
      <c r="O469" s="6">
        <v>-700</v>
      </c>
      <c r="P469" t="s">
        <v>336</v>
      </c>
      <c r="Q469" t="s">
        <v>163</v>
      </c>
      <c r="R469" t="s">
        <v>30</v>
      </c>
      <c r="S469" t="s">
        <v>145</v>
      </c>
    </row>
    <row r="470" spans="1:19" x14ac:dyDescent="0.25">
      <c r="A470" t="s">
        <v>27</v>
      </c>
      <c r="B470" t="s">
        <v>27</v>
      </c>
      <c r="C470" t="s">
        <v>27</v>
      </c>
      <c r="D470" s="7">
        <v>45870</v>
      </c>
      <c r="E470" s="6">
        <v>-7500</v>
      </c>
      <c r="F470" t="s">
        <v>196</v>
      </c>
      <c r="G470" t="s">
        <v>197</v>
      </c>
      <c r="H470" t="s">
        <v>30</v>
      </c>
      <c r="I470" t="s">
        <v>145</v>
      </c>
      <c r="K470" t="s">
        <v>27</v>
      </c>
      <c r="L470" t="s">
        <v>27</v>
      </c>
      <c r="M470" t="s">
        <v>27</v>
      </c>
      <c r="N470" s="7">
        <v>45870</v>
      </c>
      <c r="O470" s="6">
        <v>-700</v>
      </c>
      <c r="P470" t="s">
        <v>337</v>
      </c>
      <c r="Q470" t="s">
        <v>163</v>
      </c>
      <c r="R470" t="s">
        <v>30</v>
      </c>
      <c r="S470" t="s">
        <v>145</v>
      </c>
    </row>
    <row r="471" spans="1:19" x14ac:dyDescent="0.25">
      <c r="A471" t="s">
        <v>27</v>
      </c>
      <c r="B471" t="s">
        <v>27</v>
      </c>
      <c r="C471" t="s">
        <v>27</v>
      </c>
      <c r="D471" s="7">
        <v>45901</v>
      </c>
      <c r="E471" s="6">
        <v>-7500</v>
      </c>
      <c r="F471" t="s">
        <v>196</v>
      </c>
      <c r="G471" t="s">
        <v>197</v>
      </c>
      <c r="H471" t="s">
        <v>30</v>
      </c>
      <c r="I471" t="s">
        <v>145</v>
      </c>
      <c r="K471" t="s">
        <v>27</v>
      </c>
      <c r="L471" t="s">
        <v>27</v>
      </c>
      <c r="M471" t="s">
        <v>27</v>
      </c>
      <c r="N471" s="7">
        <v>45901</v>
      </c>
      <c r="O471" s="6">
        <v>-700</v>
      </c>
      <c r="P471" t="s">
        <v>338</v>
      </c>
      <c r="Q471" t="s">
        <v>163</v>
      </c>
      <c r="R471" t="s">
        <v>30</v>
      </c>
      <c r="S471" t="s">
        <v>145</v>
      </c>
    </row>
    <row r="472" spans="1:19" x14ac:dyDescent="0.25">
      <c r="A472" t="s">
        <v>27</v>
      </c>
      <c r="B472" t="s">
        <v>27</v>
      </c>
      <c r="C472" t="s">
        <v>27</v>
      </c>
      <c r="D472" s="7">
        <v>45931</v>
      </c>
      <c r="E472" s="6">
        <v>-7500</v>
      </c>
      <c r="F472" t="s">
        <v>196</v>
      </c>
      <c r="G472" t="s">
        <v>197</v>
      </c>
      <c r="H472" t="s">
        <v>30</v>
      </c>
      <c r="I472" t="s">
        <v>145</v>
      </c>
      <c r="K472" t="s">
        <v>27</v>
      </c>
      <c r="L472" t="s">
        <v>27</v>
      </c>
      <c r="M472" t="s">
        <v>27</v>
      </c>
      <c r="N472" s="7">
        <v>45931</v>
      </c>
      <c r="O472" s="6">
        <v>-700</v>
      </c>
      <c r="P472" t="s">
        <v>339</v>
      </c>
      <c r="Q472" t="s">
        <v>163</v>
      </c>
      <c r="R472" t="s">
        <v>30</v>
      </c>
      <c r="S472" t="s">
        <v>145</v>
      </c>
    </row>
    <row r="473" spans="1:19" x14ac:dyDescent="0.25">
      <c r="A473" t="s">
        <v>27</v>
      </c>
      <c r="B473" t="s">
        <v>27</v>
      </c>
      <c r="C473" t="s">
        <v>27</v>
      </c>
      <c r="D473" s="7">
        <v>45962</v>
      </c>
      <c r="E473" s="6">
        <v>-7500</v>
      </c>
      <c r="F473" t="s">
        <v>196</v>
      </c>
      <c r="G473" t="s">
        <v>197</v>
      </c>
      <c r="H473" t="s">
        <v>30</v>
      </c>
      <c r="I473" t="s">
        <v>145</v>
      </c>
      <c r="K473" t="s">
        <v>27</v>
      </c>
      <c r="L473" t="s">
        <v>27</v>
      </c>
      <c r="M473" t="s">
        <v>27</v>
      </c>
      <c r="N473" s="7">
        <v>45962</v>
      </c>
      <c r="O473" s="6">
        <v>-700</v>
      </c>
      <c r="P473" t="s">
        <v>340</v>
      </c>
      <c r="Q473" t="s">
        <v>163</v>
      </c>
      <c r="R473" t="s">
        <v>30</v>
      </c>
      <c r="S473" t="s">
        <v>145</v>
      </c>
    </row>
    <row r="474" spans="1:19" x14ac:dyDescent="0.25">
      <c r="A474" t="s">
        <v>27</v>
      </c>
      <c r="B474" t="s">
        <v>27</v>
      </c>
      <c r="C474" t="s">
        <v>27</v>
      </c>
      <c r="D474" s="7">
        <v>45992</v>
      </c>
      <c r="E474" s="6">
        <v>-7500</v>
      </c>
      <c r="F474" t="s">
        <v>196</v>
      </c>
      <c r="G474" t="s">
        <v>197</v>
      </c>
      <c r="H474" t="s">
        <v>30</v>
      </c>
      <c r="I474" t="s">
        <v>145</v>
      </c>
      <c r="K474" t="s">
        <v>27</v>
      </c>
      <c r="L474" t="s">
        <v>27</v>
      </c>
      <c r="M474" t="s">
        <v>27</v>
      </c>
      <c r="N474" s="7">
        <v>45992</v>
      </c>
      <c r="O474" s="6">
        <v>-700</v>
      </c>
      <c r="P474" t="s">
        <v>341</v>
      </c>
      <c r="Q474" t="s">
        <v>163</v>
      </c>
      <c r="R474" t="s">
        <v>30</v>
      </c>
      <c r="S474" t="s">
        <v>145</v>
      </c>
    </row>
    <row r="475" spans="1:19" x14ac:dyDescent="0.25">
      <c r="K475" t="s">
        <v>27</v>
      </c>
      <c r="L475" t="s">
        <v>27</v>
      </c>
      <c r="M475" t="s">
        <v>27</v>
      </c>
      <c r="N475" s="7">
        <v>45658</v>
      </c>
      <c r="O475" s="6">
        <v>-350</v>
      </c>
      <c r="P475" t="s">
        <v>342</v>
      </c>
      <c r="Q475" t="s">
        <v>165</v>
      </c>
      <c r="R475" t="s">
        <v>30</v>
      </c>
      <c r="S475" t="s">
        <v>145</v>
      </c>
    </row>
    <row r="476" spans="1:19" x14ac:dyDescent="0.25">
      <c r="K476" t="s">
        <v>27</v>
      </c>
      <c r="L476" t="s">
        <v>27</v>
      </c>
      <c r="M476" t="s">
        <v>27</v>
      </c>
      <c r="N476" s="7">
        <v>45689</v>
      </c>
      <c r="O476" s="6">
        <v>-350</v>
      </c>
      <c r="P476" t="s">
        <v>343</v>
      </c>
      <c r="Q476" t="s">
        <v>165</v>
      </c>
      <c r="R476" t="s">
        <v>30</v>
      </c>
      <c r="S476" t="s">
        <v>145</v>
      </c>
    </row>
    <row r="477" spans="1:19" x14ac:dyDescent="0.25">
      <c r="K477" t="s">
        <v>27</v>
      </c>
      <c r="L477" t="s">
        <v>27</v>
      </c>
      <c r="M477" t="s">
        <v>27</v>
      </c>
      <c r="N477" s="7">
        <v>45717</v>
      </c>
      <c r="O477" s="6">
        <v>-350</v>
      </c>
      <c r="P477" t="s">
        <v>344</v>
      </c>
      <c r="Q477" t="s">
        <v>165</v>
      </c>
      <c r="R477" t="s">
        <v>30</v>
      </c>
      <c r="S477" t="s">
        <v>145</v>
      </c>
    </row>
    <row r="478" spans="1:19" x14ac:dyDescent="0.25">
      <c r="K478" t="s">
        <v>27</v>
      </c>
      <c r="L478" t="s">
        <v>27</v>
      </c>
      <c r="M478" t="s">
        <v>27</v>
      </c>
      <c r="N478" s="7">
        <v>45748</v>
      </c>
      <c r="O478" s="6">
        <v>-350</v>
      </c>
      <c r="P478" t="s">
        <v>345</v>
      </c>
      <c r="Q478" t="s">
        <v>165</v>
      </c>
      <c r="R478" t="s">
        <v>30</v>
      </c>
      <c r="S478" t="s">
        <v>145</v>
      </c>
    </row>
    <row r="479" spans="1:19" x14ac:dyDescent="0.25">
      <c r="K479" t="s">
        <v>27</v>
      </c>
      <c r="L479" t="s">
        <v>27</v>
      </c>
      <c r="M479" t="s">
        <v>27</v>
      </c>
      <c r="N479" s="7">
        <v>45778</v>
      </c>
      <c r="O479" s="6">
        <v>-350</v>
      </c>
      <c r="P479" t="s">
        <v>346</v>
      </c>
      <c r="Q479" t="s">
        <v>165</v>
      </c>
      <c r="R479" t="s">
        <v>30</v>
      </c>
      <c r="S479" t="s">
        <v>145</v>
      </c>
    </row>
    <row r="480" spans="1:19" x14ac:dyDescent="0.25">
      <c r="K480" t="s">
        <v>27</v>
      </c>
      <c r="L480" t="s">
        <v>27</v>
      </c>
      <c r="M480" t="s">
        <v>27</v>
      </c>
      <c r="N480" s="7">
        <v>45809</v>
      </c>
      <c r="O480" s="6">
        <v>-350</v>
      </c>
      <c r="P480" t="s">
        <v>347</v>
      </c>
      <c r="Q480" t="s">
        <v>165</v>
      </c>
      <c r="R480" t="s">
        <v>30</v>
      </c>
      <c r="S480" t="s">
        <v>145</v>
      </c>
    </row>
    <row r="481" spans="11:19" x14ac:dyDescent="0.25">
      <c r="K481" t="s">
        <v>27</v>
      </c>
      <c r="L481" t="s">
        <v>27</v>
      </c>
      <c r="M481" t="s">
        <v>27</v>
      </c>
      <c r="N481" s="7">
        <v>45839</v>
      </c>
      <c r="O481" s="6">
        <v>-350</v>
      </c>
      <c r="P481" t="s">
        <v>348</v>
      </c>
      <c r="Q481" t="s">
        <v>165</v>
      </c>
      <c r="R481" t="s">
        <v>30</v>
      </c>
      <c r="S481" t="s">
        <v>145</v>
      </c>
    </row>
    <row r="482" spans="11:19" x14ac:dyDescent="0.25">
      <c r="K482" t="s">
        <v>27</v>
      </c>
      <c r="L482" t="s">
        <v>27</v>
      </c>
      <c r="M482" t="s">
        <v>27</v>
      </c>
      <c r="N482" s="7">
        <v>45870</v>
      </c>
      <c r="O482" s="6">
        <v>-350</v>
      </c>
      <c r="P482" t="s">
        <v>349</v>
      </c>
      <c r="Q482" t="s">
        <v>165</v>
      </c>
      <c r="R482" t="s">
        <v>30</v>
      </c>
      <c r="S482" t="s">
        <v>145</v>
      </c>
    </row>
    <row r="483" spans="11:19" x14ac:dyDescent="0.25">
      <c r="K483" t="s">
        <v>27</v>
      </c>
      <c r="L483" t="s">
        <v>27</v>
      </c>
      <c r="M483" t="s">
        <v>27</v>
      </c>
      <c r="N483" s="7">
        <v>45901</v>
      </c>
      <c r="O483" s="6">
        <v>-350</v>
      </c>
      <c r="P483" t="s">
        <v>350</v>
      </c>
      <c r="Q483" t="s">
        <v>165</v>
      </c>
      <c r="R483" t="s">
        <v>30</v>
      </c>
      <c r="S483" t="s">
        <v>145</v>
      </c>
    </row>
    <row r="484" spans="11:19" x14ac:dyDescent="0.25">
      <c r="K484" t="s">
        <v>27</v>
      </c>
      <c r="L484" t="s">
        <v>27</v>
      </c>
      <c r="M484" t="s">
        <v>27</v>
      </c>
      <c r="N484" s="7">
        <v>45931</v>
      </c>
      <c r="O484" s="6">
        <v>-350</v>
      </c>
      <c r="P484" t="s">
        <v>351</v>
      </c>
      <c r="Q484" t="s">
        <v>165</v>
      </c>
      <c r="R484" t="s">
        <v>30</v>
      </c>
      <c r="S484" t="s">
        <v>145</v>
      </c>
    </row>
    <row r="485" spans="11:19" x14ac:dyDescent="0.25">
      <c r="K485" t="s">
        <v>27</v>
      </c>
      <c r="L485" t="s">
        <v>27</v>
      </c>
      <c r="M485" t="s">
        <v>27</v>
      </c>
      <c r="N485" s="7">
        <v>45962</v>
      </c>
      <c r="O485" s="6">
        <v>-350</v>
      </c>
      <c r="P485" t="s">
        <v>352</v>
      </c>
      <c r="Q485" t="s">
        <v>165</v>
      </c>
      <c r="R485" t="s">
        <v>30</v>
      </c>
      <c r="S485" t="s">
        <v>145</v>
      </c>
    </row>
    <row r="486" spans="11:19" x14ac:dyDescent="0.25">
      <c r="K486" t="s">
        <v>27</v>
      </c>
      <c r="L486" t="s">
        <v>27</v>
      </c>
      <c r="M486" t="s">
        <v>27</v>
      </c>
      <c r="N486" s="7">
        <v>45992</v>
      </c>
      <c r="O486" s="6">
        <v>-350</v>
      </c>
      <c r="P486" t="s">
        <v>353</v>
      </c>
      <c r="Q486" t="s">
        <v>165</v>
      </c>
      <c r="R486" t="s">
        <v>30</v>
      </c>
      <c r="S486" t="s">
        <v>145</v>
      </c>
    </row>
    <row r="487" spans="11:19" x14ac:dyDescent="0.25">
      <c r="K487" t="s">
        <v>27</v>
      </c>
      <c r="L487" t="s">
        <v>27</v>
      </c>
      <c r="M487" t="s">
        <v>27</v>
      </c>
      <c r="N487" s="7">
        <v>45658</v>
      </c>
      <c r="O487" s="6">
        <v>-1000</v>
      </c>
      <c r="P487" t="s">
        <v>354</v>
      </c>
      <c r="Q487" t="s">
        <v>167</v>
      </c>
      <c r="R487" t="s">
        <v>30</v>
      </c>
      <c r="S487" t="s">
        <v>145</v>
      </c>
    </row>
    <row r="488" spans="11:19" x14ac:dyDescent="0.25">
      <c r="K488" t="s">
        <v>27</v>
      </c>
      <c r="L488" t="s">
        <v>27</v>
      </c>
      <c r="M488" t="s">
        <v>27</v>
      </c>
      <c r="N488" s="7">
        <v>45689</v>
      </c>
      <c r="O488" s="6">
        <v>-1000</v>
      </c>
      <c r="P488" t="s">
        <v>355</v>
      </c>
      <c r="Q488" t="s">
        <v>167</v>
      </c>
      <c r="R488" t="s">
        <v>30</v>
      </c>
      <c r="S488" t="s">
        <v>145</v>
      </c>
    </row>
    <row r="489" spans="11:19" x14ac:dyDescent="0.25">
      <c r="K489" t="s">
        <v>27</v>
      </c>
      <c r="L489" t="s">
        <v>27</v>
      </c>
      <c r="M489" t="s">
        <v>27</v>
      </c>
      <c r="N489" s="7">
        <v>45717</v>
      </c>
      <c r="O489" s="6">
        <v>-1000</v>
      </c>
      <c r="P489" t="s">
        <v>356</v>
      </c>
      <c r="Q489" t="s">
        <v>167</v>
      </c>
      <c r="R489" t="s">
        <v>30</v>
      </c>
      <c r="S489" t="s">
        <v>145</v>
      </c>
    </row>
    <row r="490" spans="11:19" x14ac:dyDescent="0.25">
      <c r="K490" t="s">
        <v>27</v>
      </c>
      <c r="L490" t="s">
        <v>27</v>
      </c>
      <c r="M490" t="s">
        <v>27</v>
      </c>
      <c r="N490" s="7">
        <v>45748</v>
      </c>
      <c r="O490" s="6">
        <v>-1000</v>
      </c>
      <c r="P490" t="s">
        <v>357</v>
      </c>
      <c r="Q490" t="s">
        <v>167</v>
      </c>
      <c r="R490" t="s">
        <v>30</v>
      </c>
      <c r="S490" t="s">
        <v>145</v>
      </c>
    </row>
    <row r="491" spans="11:19" x14ac:dyDescent="0.25">
      <c r="K491" t="s">
        <v>27</v>
      </c>
      <c r="L491" t="s">
        <v>27</v>
      </c>
      <c r="M491" t="s">
        <v>27</v>
      </c>
      <c r="N491" s="7">
        <v>45778</v>
      </c>
      <c r="O491" s="6">
        <v>-1000</v>
      </c>
      <c r="P491" t="s">
        <v>358</v>
      </c>
      <c r="Q491" t="s">
        <v>167</v>
      </c>
      <c r="R491" t="s">
        <v>30</v>
      </c>
      <c r="S491" t="s">
        <v>145</v>
      </c>
    </row>
    <row r="492" spans="11:19" x14ac:dyDescent="0.25">
      <c r="K492" t="s">
        <v>27</v>
      </c>
      <c r="L492" t="s">
        <v>27</v>
      </c>
      <c r="M492" t="s">
        <v>27</v>
      </c>
      <c r="N492" s="7">
        <v>45809</v>
      </c>
      <c r="O492" s="6">
        <v>-1000</v>
      </c>
      <c r="P492" t="s">
        <v>359</v>
      </c>
      <c r="Q492" t="s">
        <v>167</v>
      </c>
      <c r="R492" t="s">
        <v>30</v>
      </c>
      <c r="S492" t="s">
        <v>145</v>
      </c>
    </row>
    <row r="493" spans="11:19" x14ac:dyDescent="0.25">
      <c r="K493" t="s">
        <v>27</v>
      </c>
      <c r="L493" t="s">
        <v>27</v>
      </c>
      <c r="M493" t="s">
        <v>27</v>
      </c>
      <c r="N493" s="7">
        <v>45839</v>
      </c>
      <c r="O493" s="6">
        <v>-1000</v>
      </c>
      <c r="P493" t="s">
        <v>360</v>
      </c>
      <c r="Q493" t="s">
        <v>167</v>
      </c>
      <c r="R493" t="s">
        <v>30</v>
      </c>
      <c r="S493" t="s">
        <v>145</v>
      </c>
    </row>
    <row r="494" spans="11:19" x14ac:dyDescent="0.25">
      <c r="K494" t="s">
        <v>27</v>
      </c>
      <c r="L494" t="s">
        <v>27</v>
      </c>
      <c r="M494" t="s">
        <v>27</v>
      </c>
      <c r="N494" s="7">
        <v>45870</v>
      </c>
      <c r="O494" s="6">
        <v>-1000</v>
      </c>
      <c r="P494" t="s">
        <v>361</v>
      </c>
      <c r="Q494" t="s">
        <v>167</v>
      </c>
      <c r="R494" t="s">
        <v>30</v>
      </c>
      <c r="S494" t="s">
        <v>145</v>
      </c>
    </row>
    <row r="495" spans="11:19" x14ac:dyDescent="0.25">
      <c r="K495" t="s">
        <v>27</v>
      </c>
      <c r="L495" t="s">
        <v>27</v>
      </c>
      <c r="M495" t="s">
        <v>27</v>
      </c>
      <c r="N495" s="7">
        <v>45901</v>
      </c>
      <c r="O495" s="6">
        <v>-1000</v>
      </c>
      <c r="P495" t="s">
        <v>362</v>
      </c>
      <c r="Q495" t="s">
        <v>167</v>
      </c>
      <c r="R495" t="s">
        <v>30</v>
      </c>
      <c r="S495" t="s">
        <v>145</v>
      </c>
    </row>
    <row r="496" spans="11:19" x14ac:dyDescent="0.25">
      <c r="K496" t="s">
        <v>27</v>
      </c>
      <c r="L496" t="s">
        <v>27</v>
      </c>
      <c r="M496" t="s">
        <v>27</v>
      </c>
      <c r="N496" s="7">
        <v>45931</v>
      </c>
      <c r="O496" s="6">
        <v>-1000</v>
      </c>
      <c r="P496" t="s">
        <v>363</v>
      </c>
      <c r="Q496" t="s">
        <v>167</v>
      </c>
      <c r="R496" t="s">
        <v>30</v>
      </c>
      <c r="S496" t="s">
        <v>145</v>
      </c>
    </row>
    <row r="497" spans="11:19" x14ac:dyDescent="0.25">
      <c r="K497" t="s">
        <v>27</v>
      </c>
      <c r="L497" t="s">
        <v>27</v>
      </c>
      <c r="M497" t="s">
        <v>27</v>
      </c>
      <c r="N497" s="7">
        <v>45962</v>
      </c>
      <c r="O497" s="6">
        <v>-1000</v>
      </c>
      <c r="P497" t="s">
        <v>364</v>
      </c>
      <c r="Q497" t="s">
        <v>167</v>
      </c>
      <c r="R497" t="s">
        <v>30</v>
      </c>
      <c r="S497" t="s">
        <v>145</v>
      </c>
    </row>
    <row r="498" spans="11:19" x14ac:dyDescent="0.25">
      <c r="K498" t="s">
        <v>27</v>
      </c>
      <c r="L498" t="s">
        <v>27</v>
      </c>
      <c r="M498" t="s">
        <v>27</v>
      </c>
      <c r="N498" s="7">
        <v>45992</v>
      </c>
      <c r="O498" s="6">
        <v>-1000</v>
      </c>
      <c r="P498" t="s">
        <v>365</v>
      </c>
      <c r="Q498" t="s">
        <v>167</v>
      </c>
      <c r="R498" t="s">
        <v>30</v>
      </c>
      <c r="S498" t="s">
        <v>145</v>
      </c>
    </row>
    <row r="499" spans="11:19" x14ac:dyDescent="0.25">
      <c r="K499" t="s">
        <v>27</v>
      </c>
      <c r="L499" t="s">
        <v>27</v>
      </c>
      <c r="M499" t="s">
        <v>27</v>
      </c>
      <c r="N499" s="7">
        <v>45689</v>
      </c>
      <c r="O499" s="6">
        <v>-2400</v>
      </c>
      <c r="P499" t="s">
        <v>366</v>
      </c>
      <c r="Q499" t="s">
        <v>169</v>
      </c>
      <c r="R499" t="s">
        <v>30</v>
      </c>
      <c r="S499" t="s">
        <v>145</v>
      </c>
    </row>
    <row r="500" spans="11:19" x14ac:dyDescent="0.25">
      <c r="K500" t="s">
        <v>27</v>
      </c>
      <c r="L500" t="s">
        <v>27</v>
      </c>
      <c r="M500" t="s">
        <v>27</v>
      </c>
      <c r="N500" s="7">
        <v>45717</v>
      </c>
      <c r="O500" s="6">
        <v>-2400</v>
      </c>
      <c r="P500" t="s">
        <v>367</v>
      </c>
      <c r="Q500" t="s">
        <v>169</v>
      </c>
      <c r="R500" t="s">
        <v>30</v>
      </c>
      <c r="S500" t="s">
        <v>145</v>
      </c>
    </row>
    <row r="501" spans="11:19" x14ac:dyDescent="0.25">
      <c r="K501" t="s">
        <v>27</v>
      </c>
      <c r="L501" t="s">
        <v>27</v>
      </c>
      <c r="M501" t="s">
        <v>27</v>
      </c>
      <c r="N501" s="7">
        <v>45748</v>
      </c>
      <c r="O501" s="6">
        <v>-2400</v>
      </c>
      <c r="P501" t="s">
        <v>368</v>
      </c>
      <c r="Q501" t="s">
        <v>169</v>
      </c>
      <c r="R501" t="s">
        <v>30</v>
      </c>
      <c r="S501" t="s">
        <v>145</v>
      </c>
    </row>
    <row r="502" spans="11:19" x14ac:dyDescent="0.25">
      <c r="K502" t="s">
        <v>27</v>
      </c>
      <c r="L502" t="s">
        <v>27</v>
      </c>
      <c r="M502" t="s">
        <v>27</v>
      </c>
      <c r="N502" s="7">
        <v>45778</v>
      </c>
      <c r="O502" s="6">
        <v>-2400</v>
      </c>
      <c r="P502" t="s">
        <v>369</v>
      </c>
      <c r="Q502" t="s">
        <v>169</v>
      </c>
      <c r="R502" t="s">
        <v>30</v>
      </c>
      <c r="S502" t="s">
        <v>145</v>
      </c>
    </row>
    <row r="503" spans="11:19" x14ac:dyDescent="0.25">
      <c r="K503" t="s">
        <v>27</v>
      </c>
      <c r="L503" t="s">
        <v>27</v>
      </c>
      <c r="M503" t="s">
        <v>27</v>
      </c>
      <c r="N503" s="7">
        <v>45809</v>
      </c>
      <c r="O503" s="6">
        <v>-2400</v>
      </c>
      <c r="P503" t="s">
        <v>370</v>
      </c>
      <c r="Q503" t="s">
        <v>169</v>
      </c>
      <c r="R503" t="s">
        <v>30</v>
      </c>
      <c r="S503" t="s">
        <v>145</v>
      </c>
    </row>
    <row r="504" spans="11:19" x14ac:dyDescent="0.25">
      <c r="K504" t="s">
        <v>27</v>
      </c>
      <c r="L504" t="s">
        <v>27</v>
      </c>
      <c r="M504" t="s">
        <v>27</v>
      </c>
      <c r="N504" s="7">
        <v>45839</v>
      </c>
      <c r="O504" s="6">
        <v>-2400</v>
      </c>
      <c r="P504" t="s">
        <v>371</v>
      </c>
      <c r="Q504" t="s">
        <v>169</v>
      </c>
      <c r="R504" t="s">
        <v>30</v>
      </c>
      <c r="S504" t="s">
        <v>145</v>
      </c>
    </row>
    <row r="505" spans="11:19" x14ac:dyDescent="0.25">
      <c r="K505" t="s">
        <v>27</v>
      </c>
      <c r="L505" t="s">
        <v>27</v>
      </c>
      <c r="M505" t="s">
        <v>27</v>
      </c>
      <c r="N505" s="7">
        <v>45870</v>
      </c>
      <c r="O505" s="6">
        <v>-2400</v>
      </c>
      <c r="P505" t="s">
        <v>372</v>
      </c>
      <c r="Q505" t="s">
        <v>169</v>
      </c>
      <c r="R505" t="s">
        <v>30</v>
      </c>
      <c r="S505" t="s">
        <v>145</v>
      </c>
    </row>
    <row r="506" spans="11:19" x14ac:dyDescent="0.25">
      <c r="K506" t="s">
        <v>27</v>
      </c>
      <c r="L506" t="s">
        <v>27</v>
      </c>
      <c r="M506" t="s">
        <v>27</v>
      </c>
      <c r="N506" s="7">
        <v>45901</v>
      </c>
      <c r="O506" s="6">
        <v>-2400</v>
      </c>
      <c r="P506" t="s">
        <v>373</v>
      </c>
      <c r="Q506" t="s">
        <v>169</v>
      </c>
      <c r="R506" t="s">
        <v>30</v>
      </c>
      <c r="S506" t="s">
        <v>145</v>
      </c>
    </row>
    <row r="507" spans="11:19" x14ac:dyDescent="0.25">
      <c r="K507" t="s">
        <v>27</v>
      </c>
      <c r="L507" t="s">
        <v>27</v>
      </c>
      <c r="M507" t="s">
        <v>27</v>
      </c>
      <c r="N507" s="7">
        <v>45931</v>
      </c>
      <c r="O507" s="6">
        <v>-2400</v>
      </c>
      <c r="P507" t="s">
        <v>374</v>
      </c>
      <c r="Q507" t="s">
        <v>169</v>
      </c>
      <c r="R507" t="s">
        <v>30</v>
      </c>
      <c r="S507" t="s">
        <v>145</v>
      </c>
    </row>
    <row r="508" spans="11:19" x14ac:dyDescent="0.25">
      <c r="K508" t="s">
        <v>27</v>
      </c>
      <c r="L508" t="s">
        <v>27</v>
      </c>
      <c r="M508" t="s">
        <v>27</v>
      </c>
      <c r="N508" s="7">
        <v>45962</v>
      </c>
      <c r="O508" s="6">
        <v>-2400</v>
      </c>
      <c r="P508" t="s">
        <v>375</v>
      </c>
      <c r="Q508" t="s">
        <v>169</v>
      </c>
      <c r="R508" t="s">
        <v>30</v>
      </c>
      <c r="S508" t="s">
        <v>145</v>
      </c>
    </row>
    <row r="509" spans="11:19" x14ac:dyDescent="0.25">
      <c r="K509" t="s">
        <v>27</v>
      </c>
      <c r="L509" t="s">
        <v>27</v>
      </c>
      <c r="M509" t="s">
        <v>27</v>
      </c>
      <c r="N509" s="7">
        <v>45992</v>
      </c>
      <c r="O509" s="6">
        <v>-2400</v>
      </c>
      <c r="P509" t="s">
        <v>376</v>
      </c>
      <c r="Q509" t="s">
        <v>169</v>
      </c>
      <c r="R509" t="s">
        <v>30</v>
      </c>
      <c r="S509" t="s">
        <v>145</v>
      </c>
    </row>
    <row r="510" spans="11:19" x14ac:dyDescent="0.25">
      <c r="K510" t="s">
        <v>27</v>
      </c>
      <c r="L510" t="s">
        <v>27</v>
      </c>
      <c r="M510" t="s">
        <v>27</v>
      </c>
      <c r="N510" s="7">
        <v>46023</v>
      </c>
      <c r="O510" s="6">
        <v>-2400</v>
      </c>
      <c r="P510" t="s">
        <v>377</v>
      </c>
      <c r="Q510" t="s">
        <v>169</v>
      </c>
      <c r="R510" t="s">
        <v>30</v>
      </c>
      <c r="S510" t="s">
        <v>145</v>
      </c>
    </row>
    <row r="511" spans="11:19" x14ac:dyDescent="0.25">
      <c r="K511" t="s">
        <v>27</v>
      </c>
      <c r="L511" t="s">
        <v>27</v>
      </c>
      <c r="M511" t="s">
        <v>27</v>
      </c>
      <c r="N511" s="7">
        <v>45689</v>
      </c>
      <c r="O511" s="6">
        <v>-1000</v>
      </c>
      <c r="P511" t="s">
        <v>378</v>
      </c>
      <c r="Q511" t="s">
        <v>171</v>
      </c>
      <c r="R511" t="s">
        <v>30</v>
      </c>
      <c r="S511" t="s">
        <v>145</v>
      </c>
    </row>
    <row r="512" spans="11:19" x14ac:dyDescent="0.25">
      <c r="K512" t="s">
        <v>27</v>
      </c>
      <c r="L512" t="s">
        <v>27</v>
      </c>
      <c r="M512" t="s">
        <v>27</v>
      </c>
      <c r="N512" s="7">
        <v>45717</v>
      </c>
      <c r="O512" s="6">
        <v>-1000</v>
      </c>
      <c r="P512" t="s">
        <v>379</v>
      </c>
      <c r="Q512" t="s">
        <v>171</v>
      </c>
      <c r="R512" t="s">
        <v>30</v>
      </c>
      <c r="S512" t="s">
        <v>145</v>
      </c>
    </row>
    <row r="513" spans="11:19" x14ac:dyDescent="0.25">
      <c r="K513" t="s">
        <v>27</v>
      </c>
      <c r="L513" t="s">
        <v>27</v>
      </c>
      <c r="M513" t="s">
        <v>27</v>
      </c>
      <c r="N513" s="7">
        <v>45748</v>
      </c>
      <c r="O513" s="6">
        <v>-1000</v>
      </c>
      <c r="P513" t="s">
        <v>380</v>
      </c>
      <c r="Q513" t="s">
        <v>171</v>
      </c>
      <c r="R513" t="s">
        <v>30</v>
      </c>
      <c r="S513" t="s">
        <v>145</v>
      </c>
    </row>
    <row r="514" spans="11:19" x14ac:dyDescent="0.25">
      <c r="K514" t="s">
        <v>27</v>
      </c>
      <c r="L514" t="s">
        <v>27</v>
      </c>
      <c r="M514" t="s">
        <v>27</v>
      </c>
      <c r="N514" s="7">
        <v>45778</v>
      </c>
      <c r="O514" s="6">
        <v>-1000</v>
      </c>
      <c r="P514" t="s">
        <v>381</v>
      </c>
      <c r="Q514" t="s">
        <v>171</v>
      </c>
      <c r="R514" t="s">
        <v>30</v>
      </c>
      <c r="S514" t="s">
        <v>145</v>
      </c>
    </row>
    <row r="515" spans="11:19" x14ac:dyDescent="0.25">
      <c r="K515" t="s">
        <v>27</v>
      </c>
      <c r="L515" t="s">
        <v>27</v>
      </c>
      <c r="M515" t="s">
        <v>27</v>
      </c>
      <c r="N515" s="7">
        <v>45809</v>
      </c>
      <c r="O515" s="6">
        <v>-1000</v>
      </c>
      <c r="P515" t="s">
        <v>382</v>
      </c>
      <c r="Q515" t="s">
        <v>171</v>
      </c>
      <c r="R515" t="s">
        <v>30</v>
      </c>
      <c r="S515" t="s">
        <v>145</v>
      </c>
    </row>
    <row r="516" spans="11:19" x14ac:dyDescent="0.25">
      <c r="K516" t="s">
        <v>27</v>
      </c>
      <c r="L516" t="s">
        <v>27</v>
      </c>
      <c r="M516" t="s">
        <v>27</v>
      </c>
      <c r="N516" s="7">
        <v>45839</v>
      </c>
      <c r="O516" s="6">
        <v>-1000</v>
      </c>
      <c r="P516" t="s">
        <v>383</v>
      </c>
      <c r="Q516" t="s">
        <v>171</v>
      </c>
      <c r="R516" t="s">
        <v>30</v>
      </c>
      <c r="S516" t="s">
        <v>145</v>
      </c>
    </row>
    <row r="517" spans="11:19" x14ac:dyDescent="0.25">
      <c r="K517" t="s">
        <v>27</v>
      </c>
      <c r="L517" t="s">
        <v>27</v>
      </c>
      <c r="M517" t="s">
        <v>27</v>
      </c>
      <c r="N517" s="7">
        <v>45870</v>
      </c>
      <c r="O517" s="6">
        <v>-1000</v>
      </c>
      <c r="P517" t="s">
        <v>384</v>
      </c>
      <c r="Q517" t="s">
        <v>171</v>
      </c>
      <c r="R517" t="s">
        <v>30</v>
      </c>
      <c r="S517" t="s">
        <v>145</v>
      </c>
    </row>
    <row r="518" spans="11:19" x14ac:dyDescent="0.25">
      <c r="K518" t="s">
        <v>27</v>
      </c>
      <c r="L518" t="s">
        <v>27</v>
      </c>
      <c r="M518" t="s">
        <v>27</v>
      </c>
      <c r="N518" s="7">
        <v>45901</v>
      </c>
      <c r="O518" s="6">
        <v>-1000</v>
      </c>
      <c r="P518" t="s">
        <v>385</v>
      </c>
      <c r="Q518" t="s">
        <v>171</v>
      </c>
      <c r="R518" t="s">
        <v>30</v>
      </c>
      <c r="S518" t="s">
        <v>145</v>
      </c>
    </row>
    <row r="519" spans="11:19" x14ac:dyDescent="0.25">
      <c r="K519" t="s">
        <v>27</v>
      </c>
      <c r="L519" t="s">
        <v>27</v>
      </c>
      <c r="M519" t="s">
        <v>27</v>
      </c>
      <c r="N519" s="7">
        <v>45931</v>
      </c>
      <c r="O519" s="6">
        <v>-1000</v>
      </c>
      <c r="P519" t="s">
        <v>386</v>
      </c>
      <c r="Q519" t="s">
        <v>171</v>
      </c>
      <c r="R519" t="s">
        <v>30</v>
      </c>
      <c r="S519" t="s">
        <v>145</v>
      </c>
    </row>
    <row r="520" spans="11:19" x14ac:dyDescent="0.25">
      <c r="K520" t="s">
        <v>27</v>
      </c>
      <c r="L520" t="s">
        <v>27</v>
      </c>
      <c r="M520" t="s">
        <v>27</v>
      </c>
      <c r="N520" s="7">
        <v>45962</v>
      </c>
      <c r="O520" s="6">
        <v>-1000</v>
      </c>
      <c r="P520" t="s">
        <v>387</v>
      </c>
      <c r="Q520" t="s">
        <v>171</v>
      </c>
      <c r="R520" t="s">
        <v>30</v>
      </c>
      <c r="S520" t="s">
        <v>145</v>
      </c>
    </row>
    <row r="521" spans="11:19" x14ac:dyDescent="0.25">
      <c r="K521" t="s">
        <v>27</v>
      </c>
      <c r="L521" t="s">
        <v>27</v>
      </c>
      <c r="M521" t="s">
        <v>27</v>
      </c>
      <c r="N521" s="7">
        <v>45992</v>
      </c>
      <c r="O521" s="6">
        <v>-1000</v>
      </c>
      <c r="P521" t="s">
        <v>388</v>
      </c>
      <c r="Q521" t="s">
        <v>171</v>
      </c>
      <c r="R521" t="s">
        <v>30</v>
      </c>
      <c r="S521" t="s">
        <v>145</v>
      </c>
    </row>
    <row r="522" spans="11:19" x14ac:dyDescent="0.25">
      <c r="K522" t="s">
        <v>27</v>
      </c>
      <c r="L522" t="s">
        <v>27</v>
      </c>
      <c r="M522" t="s">
        <v>27</v>
      </c>
      <c r="N522" s="7">
        <v>46023</v>
      </c>
      <c r="O522" s="6">
        <v>-1000</v>
      </c>
      <c r="P522" t="s">
        <v>389</v>
      </c>
      <c r="Q522" t="s">
        <v>171</v>
      </c>
      <c r="R522" t="s">
        <v>30</v>
      </c>
      <c r="S522" t="s">
        <v>145</v>
      </c>
    </row>
    <row r="523" spans="11:19" x14ac:dyDescent="0.25">
      <c r="K523" t="s">
        <v>27</v>
      </c>
      <c r="L523" t="s">
        <v>27</v>
      </c>
      <c r="M523" t="s">
        <v>27</v>
      </c>
      <c r="N523" s="7">
        <v>45689</v>
      </c>
      <c r="O523" s="6">
        <v>-450</v>
      </c>
      <c r="P523" t="s">
        <v>390</v>
      </c>
      <c r="Q523" t="s">
        <v>173</v>
      </c>
      <c r="R523" t="s">
        <v>30</v>
      </c>
      <c r="S523" t="s">
        <v>145</v>
      </c>
    </row>
    <row r="524" spans="11:19" x14ac:dyDescent="0.25">
      <c r="K524" t="s">
        <v>27</v>
      </c>
      <c r="L524" t="s">
        <v>27</v>
      </c>
      <c r="M524" t="s">
        <v>27</v>
      </c>
      <c r="N524" s="7">
        <v>45717</v>
      </c>
      <c r="O524" s="6">
        <v>-450</v>
      </c>
      <c r="P524" t="s">
        <v>391</v>
      </c>
      <c r="Q524" t="s">
        <v>173</v>
      </c>
      <c r="R524" t="s">
        <v>30</v>
      </c>
      <c r="S524" t="s">
        <v>145</v>
      </c>
    </row>
    <row r="525" spans="11:19" x14ac:dyDescent="0.25">
      <c r="K525" t="s">
        <v>27</v>
      </c>
      <c r="L525" t="s">
        <v>27</v>
      </c>
      <c r="M525" t="s">
        <v>27</v>
      </c>
      <c r="N525" s="7">
        <v>45748</v>
      </c>
      <c r="O525" s="6">
        <v>-450</v>
      </c>
      <c r="P525" t="s">
        <v>392</v>
      </c>
      <c r="Q525" t="s">
        <v>173</v>
      </c>
      <c r="R525" t="s">
        <v>30</v>
      </c>
      <c r="S525" t="s">
        <v>145</v>
      </c>
    </row>
    <row r="526" spans="11:19" x14ac:dyDescent="0.25">
      <c r="K526" t="s">
        <v>27</v>
      </c>
      <c r="L526" t="s">
        <v>27</v>
      </c>
      <c r="M526" t="s">
        <v>27</v>
      </c>
      <c r="N526" s="7">
        <v>45778</v>
      </c>
      <c r="O526" s="6">
        <v>-450</v>
      </c>
      <c r="P526" t="s">
        <v>393</v>
      </c>
      <c r="Q526" t="s">
        <v>173</v>
      </c>
      <c r="R526" t="s">
        <v>30</v>
      </c>
      <c r="S526" t="s">
        <v>145</v>
      </c>
    </row>
    <row r="527" spans="11:19" x14ac:dyDescent="0.25">
      <c r="K527" t="s">
        <v>27</v>
      </c>
      <c r="L527" t="s">
        <v>27</v>
      </c>
      <c r="M527" t="s">
        <v>27</v>
      </c>
      <c r="N527" s="7">
        <v>45809</v>
      </c>
      <c r="O527" s="6">
        <v>-450</v>
      </c>
      <c r="P527" t="s">
        <v>394</v>
      </c>
      <c r="Q527" t="s">
        <v>173</v>
      </c>
      <c r="R527" t="s">
        <v>30</v>
      </c>
      <c r="S527" t="s">
        <v>145</v>
      </c>
    </row>
    <row r="528" spans="11:19" x14ac:dyDescent="0.25">
      <c r="K528" t="s">
        <v>27</v>
      </c>
      <c r="L528" t="s">
        <v>27</v>
      </c>
      <c r="M528" t="s">
        <v>27</v>
      </c>
      <c r="N528" s="7">
        <v>45839</v>
      </c>
      <c r="O528" s="6">
        <v>-450</v>
      </c>
      <c r="P528" t="s">
        <v>395</v>
      </c>
      <c r="Q528" t="s">
        <v>173</v>
      </c>
      <c r="R528" t="s">
        <v>30</v>
      </c>
      <c r="S528" t="s">
        <v>145</v>
      </c>
    </row>
    <row r="529" spans="11:19" x14ac:dyDescent="0.25">
      <c r="K529" t="s">
        <v>27</v>
      </c>
      <c r="L529" t="s">
        <v>27</v>
      </c>
      <c r="M529" t="s">
        <v>27</v>
      </c>
      <c r="N529" s="7">
        <v>45870</v>
      </c>
      <c r="O529" s="6">
        <v>-450</v>
      </c>
      <c r="P529" t="s">
        <v>396</v>
      </c>
      <c r="Q529" t="s">
        <v>173</v>
      </c>
      <c r="R529" t="s">
        <v>30</v>
      </c>
      <c r="S529" t="s">
        <v>145</v>
      </c>
    </row>
    <row r="530" spans="11:19" x14ac:dyDescent="0.25">
      <c r="K530" t="s">
        <v>27</v>
      </c>
      <c r="L530" t="s">
        <v>27</v>
      </c>
      <c r="M530" t="s">
        <v>27</v>
      </c>
      <c r="N530" s="7">
        <v>45901</v>
      </c>
      <c r="O530" s="6">
        <v>-450</v>
      </c>
      <c r="P530" t="s">
        <v>397</v>
      </c>
      <c r="Q530" t="s">
        <v>173</v>
      </c>
      <c r="R530" t="s">
        <v>30</v>
      </c>
      <c r="S530" t="s">
        <v>145</v>
      </c>
    </row>
    <row r="531" spans="11:19" x14ac:dyDescent="0.25">
      <c r="K531" t="s">
        <v>27</v>
      </c>
      <c r="L531" t="s">
        <v>27</v>
      </c>
      <c r="M531" t="s">
        <v>27</v>
      </c>
      <c r="N531" s="7">
        <v>45931</v>
      </c>
      <c r="O531" s="6">
        <v>-450</v>
      </c>
      <c r="P531" t="s">
        <v>398</v>
      </c>
      <c r="Q531" t="s">
        <v>173</v>
      </c>
      <c r="R531" t="s">
        <v>30</v>
      </c>
      <c r="S531" t="s">
        <v>145</v>
      </c>
    </row>
    <row r="532" spans="11:19" x14ac:dyDescent="0.25">
      <c r="K532" t="s">
        <v>27</v>
      </c>
      <c r="L532" t="s">
        <v>27</v>
      </c>
      <c r="M532" t="s">
        <v>27</v>
      </c>
      <c r="N532" s="7">
        <v>45962</v>
      </c>
      <c r="O532" s="6">
        <v>-450</v>
      </c>
      <c r="P532" t="s">
        <v>399</v>
      </c>
      <c r="Q532" t="s">
        <v>173</v>
      </c>
      <c r="R532" t="s">
        <v>30</v>
      </c>
      <c r="S532" t="s">
        <v>145</v>
      </c>
    </row>
    <row r="533" spans="11:19" x14ac:dyDescent="0.25">
      <c r="K533" t="s">
        <v>27</v>
      </c>
      <c r="L533" t="s">
        <v>27</v>
      </c>
      <c r="M533" t="s">
        <v>27</v>
      </c>
      <c r="N533" s="7">
        <v>45992</v>
      </c>
      <c r="O533" s="6">
        <v>-450</v>
      </c>
      <c r="P533" t="s">
        <v>400</v>
      </c>
      <c r="Q533" t="s">
        <v>173</v>
      </c>
      <c r="R533" t="s">
        <v>30</v>
      </c>
      <c r="S533" t="s">
        <v>145</v>
      </c>
    </row>
    <row r="534" spans="11:19" x14ac:dyDescent="0.25">
      <c r="K534" t="s">
        <v>27</v>
      </c>
      <c r="L534" t="s">
        <v>27</v>
      </c>
      <c r="M534" t="s">
        <v>27</v>
      </c>
      <c r="N534" s="7">
        <v>46023</v>
      </c>
      <c r="O534" s="6">
        <v>-450</v>
      </c>
      <c r="P534" t="s">
        <v>401</v>
      </c>
      <c r="Q534" t="s">
        <v>173</v>
      </c>
      <c r="R534" t="s">
        <v>30</v>
      </c>
      <c r="S534" t="s">
        <v>145</v>
      </c>
    </row>
    <row r="535" spans="11:19" x14ac:dyDescent="0.25">
      <c r="K535" t="s">
        <v>27</v>
      </c>
      <c r="L535" t="s">
        <v>27</v>
      </c>
      <c r="M535" t="s">
        <v>27</v>
      </c>
      <c r="N535" s="7">
        <v>45689</v>
      </c>
      <c r="O535" s="6">
        <v>-350</v>
      </c>
      <c r="P535" t="s">
        <v>402</v>
      </c>
      <c r="Q535" t="s">
        <v>175</v>
      </c>
      <c r="R535" t="s">
        <v>30</v>
      </c>
      <c r="S535" t="s">
        <v>145</v>
      </c>
    </row>
    <row r="536" spans="11:19" x14ac:dyDescent="0.25">
      <c r="K536" t="s">
        <v>27</v>
      </c>
      <c r="L536" t="s">
        <v>27</v>
      </c>
      <c r="M536" t="s">
        <v>27</v>
      </c>
      <c r="N536" s="7">
        <v>45717</v>
      </c>
      <c r="O536" s="6">
        <v>-350</v>
      </c>
      <c r="P536" t="s">
        <v>403</v>
      </c>
      <c r="Q536" t="s">
        <v>175</v>
      </c>
      <c r="R536" t="s">
        <v>30</v>
      </c>
      <c r="S536" t="s">
        <v>145</v>
      </c>
    </row>
    <row r="537" spans="11:19" x14ac:dyDescent="0.25">
      <c r="K537" t="s">
        <v>27</v>
      </c>
      <c r="L537" t="s">
        <v>27</v>
      </c>
      <c r="M537" t="s">
        <v>27</v>
      </c>
      <c r="N537" s="7">
        <v>45748</v>
      </c>
      <c r="O537" s="6">
        <v>-350</v>
      </c>
      <c r="P537" t="s">
        <v>404</v>
      </c>
      <c r="Q537" t="s">
        <v>175</v>
      </c>
      <c r="R537" t="s">
        <v>30</v>
      </c>
      <c r="S537" t="s">
        <v>145</v>
      </c>
    </row>
    <row r="538" spans="11:19" x14ac:dyDescent="0.25">
      <c r="K538" t="s">
        <v>27</v>
      </c>
      <c r="L538" t="s">
        <v>27</v>
      </c>
      <c r="M538" t="s">
        <v>27</v>
      </c>
      <c r="N538" s="7">
        <v>45778</v>
      </c>
      <c r="O538" s="6">
        <v>-350</v>
      </c>
      <c r="P538" t="s">
        <v>405</v>
      </c>
      <c r="Q538" t="s">
        <v>175</v>
      </c>
      <c r="R538" t="s">
        <v>30</v>
      </c>
      <c r="S538" t="s">
        <v>145</v>
      </c>
    </row>
    <row r="539" spans="11:19" x14ac:dyDescent="0.25">
      <c r="K539" t="s">
        <v>27</v>
      </c>
      <c r="L539" t="s">
        <v>27</v>
      </c>
      <c r="M539" t="s">
        <v>27</v>
      </c>
      <c r="N539" s="7">
        <v>45809</v>
      </c>
      <c r="O539" s="6">
        <v>-350</v>
      </c>
      <c r="P539" t="s">
        <v>406</v>
      </c>
      <c r="Q539" t="s">
        <v>175</v>
      </c>
      <c r="R539" t="s">
        <v>30</v>
      </c>
      <c r="S539" t="s">
        <v>145</v>
      </c>
    </row>
    <row r="540" spans="11:19" x14ac:dyDescent="0.25">
      <c r="K540" t="s">
        <v>27</v>
      </c>
      <c r="L540" t="s">
        <v>27</v>
      </c>
      <c r="M540" t="s">
        <v>27</v>
      </c>
      <c r="N540" s="7">
        <v>45839</v>
      </c>
      <c r="O540" s="6">
        <v>-350</v>
      </c>
      <c r="P540" t="s">
        <v>407</v>
      </c>
      <c r="Q540" t="s">
        <v>175</v>
      </c>
      <c r="R540" t="s">
        <v>30</v>
      </c>
      <c r="S540" t="s">
        <v>145</v>
      </c>
    </row>
    <row r="541" spans="11:19" x14ac:dyDescent="0.25">
      <c r="K541" t="s">
        <v>27</v>
      </c>
      <c r="L541" t="s">
        <v>27</v>
      </c>
      <c r="M541" t="s">
        <v>27</v>
      </c>
      <c r="N541" s="7">
        <v>45870</v>
      </c>
      <c r="O541" s="6">
        <v>-350</v>
      </c>
      <c r="P541" t="s">
        <v>408</v>
      </c>
      <c r="Q541" t="s">
        <v>175</v>
      </c>
      <c r="R541" t="s">
        <v>30</v>
      </c>
      <c r="S541" t="s">
        <v>145</v>
      </c>
    </row>
    <row r="542" spans="11:19" x14ac:dyDescent="0.25">
      <c r="K542" t="s">
        <v>27</v>
      </c>
      <c r="L542" t="s">
        <v>27</v>
      </c>
      <c r="M542" t="s">
        <v>27</v>
      </c>
      <c r="N542" s="7">
        <v>45901</v>
      </c>
      <c r="O542" s="6">
        <v>-350</v>
      </c>
      <c r="P542" t="s">
        <v>409</v>
      </c>
      <c r="Q542" t="s">
        <v>175</v>
      </c>
      <c r="R542" t="s">
        <v>30</v>
      </c>
      <c r="S542" t="s">
        <v>145</v>
      </c>
    </row>
    <row r="543" spans="11:19" x14ac:dyDescent="0.25">
      <c r="K543" t="s">
        <v>27</v>
      </c>
      <c r="L543" t="s">
        <v>27</v>
      </c>
      <c r="M543" t="s">
        <v>27</v>
      </c>
      <c r="N543" s="7">
        <v>45931</v>
      </c>
      <c r="O543" s="6">
        <v>-350</v>
      </c>
      <c r="P543" t="s">
        <v>410</v>
      </c>
      <c r="Q543" t="s">
        <v>175</v>
      </c>
      <c r="R543" t="s">
        <v>30</v>
      </c>
      <c r="S543" t="s">
        <v>145</v>
      </c>
    </row>
    <row r="544" spans="11:19" x14ac:dyDescent="0.25">
      <c r="K544" t="s">
        <v>27</v>
      </c>
      <c r="L544" t="s">
        <v>27</v>
      </c>
      <c r="M544" t="s">
        <v>27</v>
      </c>
      <c r="N544" s="7">
        <v>45962</v>
      </c>
      <c r="O544" s="6">
        <v>-350</v>
      </c>
      <c r="P544" t="s">
        <v>411</v>
      </c>
      <c r="Q544" t="s">
        <v>175</v>
      </c>
      <c r="R544" t="s">
        <v>30</v>
      </c>
      <c r="S544" t="s">
        <v>145</v>
      </c>
    </row>
    <row r="545" spans="11:19" x14ac:dyDescent="0.25">
      <c r="K545" t="s">
        <v>27</v>
      </c>
      <c r="L545" t="s">
        <v>27</v>
      </c>
      <c r="M545" t="s">
        <v>27</v>
      </c>
      <c r="N545" s="7">
        <v>45992</v>
      </c>
      <c r="O545" s="6">
        <v>-350</v>
      </c>
      <c r="P545" t="s">
        <v>412</v>
      </c>
      <c r="Q545" t="s">
        <v>175</v>
      </c>
      <c r="R545" t="s">
        <v>30</v>
      </c>
      <c r="S545" t="s">
        <v>145</v>
      </c>
    </row>
    <row r="546" spans="11:19" x14ac:dyDescent="0.25">
      <c r="K546" t="s">
        <v>27</v>
      </c>
      <c r="L546" t="s">
        <v>27</v>
      </c>
      <c r="M546" t="s">
        <v>27</v>
      </c>
      <c r="N546" s="7">
        <v>46023</v>
      </c>
      <c r="O546" s="6">
        <v>-350</v>
      </c>
      <c r="P546" t="s">
        <v>413</v>
      </c>
      <c r="Q546" t="s">
        <v>175</v>
      </c>
      <c r="R546" t="s">
        <v>30</v>
      </c>
      <c r="S546" t="s">
        <v>145</v>
      </c>
    </row>
    <row r="547" spans="11:19" x14ac:dyDescent="0.25">
      <c r="K547" t="s">
        <v>27</v>
      </c>
      <c r="L547" t="s">
        <v>27</v>
      </c>
      <c r="M547" t="s">
        <v>27</v>
      </c>
      <c r="N547" s="7">
        <v>45689</v>
      </c>
      <c r="O547" s="6">
        <v>-120</v>
      </c>
      <c r="P547" t="s">
        <v>414</v>
      </c>
      <c r="Q547" t="s">
        <v>177</v>
      </c>
      <c r="R547" t="s">
        <v>30</v>
      </c>
      <c r="S547" t="s">
        <v>145</v>
      </c>
    </row>
    <row r="548" spans="11:19" x14ac:dyDescent="0.25">
      <c r="K548" t="s">
        <v>27</v>
      </c>
      <c r="L548" t="s">
        <v>27</v>
      </c>
      <c r="M548" t="s">
        <v>27</v>
      </c>
      <c r="N548" s="7">
        <v>45717</v>
      </c>
      <c r="O548" s="6">
        <v>-120</v>
      </c>
      <c r="P548" t="s">
        <v>415</v>
      </c>
      <c r="Q548" t="s">
        <v>177</v>
      </c>
      <c r="R548" t="s">
        <v>30</v>
      </c>
      <c r="S548" t="s">
        <v>145</v>
      </c>
    </row>
    <row r="549" spans="11:19" x14ac:dyDescent="0.25">
      <c r="K549" t="s">
        <v>27</v>
      </c>
      <c r="L549" t="s">
        <v>27</v>
      </c>
      <c r="M549" t="s">
        <v>27</v>
      </c>
      <c r="N549" s="7">
        <v>45748</v>
      </c>
      <c r="O549" s="6">
        <v>-120</v>
      </c>
      <c r="P549" t="s">
        <v>416</v>
      </c>
      <c r="Q549" t="s">
        <v>177</v>
      </c>
      <c r="R549" t="s">
        <v>30</v>
      </c>
      <c r="S549" t="s">
        <v>145</v>
      </c>
    </row>
    <row r="550" spans="11:19" x14ac:dyDescent="0.25">
      <c r="K550" t="s">
        <v>27</v>
      </c>
      <c r="L550" t="s">
        <v>27</v>
      </c>
      <c r="M550" t="s">
        <v>27</v>
      </c>
      <c r="N550" s="7">
        <v>45778</v>
      </c>
      <c r="O550" s="6">
        <v>-120</v>
      </c>
      <c r="P550" t="s">
        <v>417</v>
      </c>
      <c r="Q550" t="s">
        <v>177</v>
      </c>
      <c r="R550" t="s">
        <v>30</v>
      </c>
      <c r="S550" t="s">
        <v>145</v>
      </c>
    </row>
    <row r="551" spans="11:19" x14ac:dyDescent="0.25">
      <c r="K551" t="s">
        <v>27</v>
      </c>
      <c r="L551" t="s">
        <v>27</v>
      </c>
      <c r="M551" t="s">
        <v>27</v>
      </c>
      <c r="N551" s="7">
        <v>45809</v>
      </c>
      <c r="O551" s="6">
        <v>-120</v>
      </c>
      <c r="P551" t="s">
        <v>418</v>
      </c>
      <c r="Q551" t="s">
        <v>177</v>
      </c>
      <c r="R551" t="s">
        <v>30</v>
      </c>
      <c r="S551" t="s">
        <v>145</v>
      </c>
    </row>
    <row r="552" spans="11:19" x14ac:dyDescent="0.25">
      <c r="K552" t="s">
        <v>27</v>
      </c>
      <c r="L552" t="s">
        <v>27</v>
      </c>
      <c r="M552" t="s">
        <v>27</v>
      </c>
      <c r="N552" s="7">
        <v>45839</v>
      </c>
      <c r="O552" s="6">
        <v>-120</v>
      </c>
      <c r="P552" t="s">
        <v>419</v>
      </c>
      <c r="Q552" t="s">
        <v>177</v>
      </c>
      <c r="R552" t="s">
        <v>30</v>
      </c>
      <c r="S552" t="s">
        <v>145</v>
      </c>
    </row>
    <row r="553" spans="11:19" x14ac:dyDescent="0.25">
      <c r="K553" t="s">
        <v>27</v>
      </c>
      <c r="L553" t="s">
        <v>27</v>
      </c>
      <c r="M553" t="s">
        <v>27</v>
      </c>
      <c r="N553" s="7">
        <v>45870</v>
      </c>
      <c r="O553" s="6">
        <v>-120</v>
      </c>
      <c r="P553" t="s">
        <v>420</v>
      </c>
      <c r="Q553" t="s">
        <v>177</v>
      </c>
      <c r="R553" t="s">
        <v>30</v>
      </c>
      <c r="S553" t="s">
        <v>145</v>
      </c>
    </row>
    <row r="554" spans="11:19" x14ac:dyDescent="0.25">
      <c r="K554" t="s">
        <v>27</v>
      </c>
      <c r="L554" t="s">
        <v>27</v>
      </c>
      <c r="M554" t="s">
        <v>27</v>
      </c>
      <c r="N554" s="7">
        <v>45901</v>
      </c>
      <c r="O554" s="6">
        <v>-120</v>
      </c>
      <c r="P554" t="s">
        <v>421</v>
      </c>
      <c r="Q554" t="s">
        <v>177</v>
      </c>
      <c r="R554" t="s">
        <v>30</v>
      </c>
      <c r="S554" t="s">
        <v>145</v>
      </c>
    </row>
    <row r="555" spans="11:19" x14ac:dyDescent="0.25">
      <c r="K555" t="s">
        <v>27</v>
      </c>
      <c r="L555" t="s">
        <v>27</v>
      </c>
      <c r="M555" t="s">
        <v>27</v>
      </c>
      <c r="N555" s="7">
        <v>45931</v>
      </c>
      <c r="O555" s="6">
        <v>-120</v>
      </c>
      <c r="P555" t="s">
        <v>422</v>
      </c>
      <c r="Q555" t="s">
        <v>177</v>
      </c>
      <c r="R555" t="s">
        <v>30</v>
      </c>
      <c r="S555" t="s">
        <v>145</v>
      </c>
    </row>
    <row r="556" spans="11:19" x14ac:dyDescent="0.25">
      <c r="K556" t="s">
        <v>27</v>
      </c>
      <c r="L556" t="s">
        <v>27</v>
      </c>
      <c r="M556" t="s">
        <v>27</v>
      </c>
      <c r="N556" s="7">
        <v>45962</v>
      </c>
      <c r="O556" s="6">
        <v>-120</v>
      </c>
      <c r="P556" t="s">
        <v>423</v>
      </c>
      <c r="Q556" t="s">
        <v>177</v>
      </c>
      <c r="R556" t="s">
        <v>30</v>
      </c>
      <c r="S556" t="s">
        <v>145</v>
      </c>
    </row>
    <row r="557" spans="11:19" x14ac:dyDescent="0.25">
      <c r="K557" t="s">
        <v>27</v>
      </c>
      <c r="L557" t="s">
        <v>27</v>
      </c>
      <c r="M557" t="s">
        <v>27</v>
      </c>
      <c r="N557" s="7">
        <v>45992</v>
      </c>
      <c r="O557" s="6">
        <v>-120</v>
      </c>
      <c r="P557" t="s">
        <v>424</v>
      </c>
      <c r="Q557" t="s">
        <v>177</v>
      </c>
      <c r="R557" t="s">
        <v>30</v>
      </c>
      <c r="S557" t="s">
        <v>145</v>
      </c>
    </row>
    <row r="558" spans="11:19" x14ac:dyDescent="0.25">
      <c r="K558" t="s">
        <v>27</v>
      </c>
      <c r="L558" t="s">
        <v>27</v>
      </c>
      <c r="M558" t="s">
        <v>27</v>
      </c>
      <c r="N558" s="7">
        <v>46023</v>
      </c>
      <c r="O558" s="6">
        <v>-120</v>
      </c>
      <c r="P558" t="s">
        <v>425</v>
      </c>
      <c r="Q558" t="s">
        <v>177</v>
      </c>
      <c r="R558" t="s">
        <v>30</v>
      </c>
      <c r="S558" t="s">
        <v>145</v>
      </c>
    </row>
    <row r="559" spans="11:19" x14ac:dyDescent="0.25">
      <c r="K559" t="s">
        <v>27</v>
      </c>
      <c r="L559" t="s">
        <v>27</v>
      </c>
      <c r="M559" t="s">
        <v>27</v>
      </c>
      <c r="N559" s="7">
        <v>45658</v>
      </c>
      <c r="O559" s="6">
        <v>-450</v>
      </c>
      <c r="P559" t="s">
        <v>426</v>
      </c>
      <c r="Q559" t="s">
        <v>179</v>
      </c>
      <c r="R559" t="s">
        <v>30</v>
      </c>
      <c r="S559" t="s">
        <v>145</v>
      </c>
    </row>
    <row r="560" spans="11:19" x14ac:dyDescent="0.25">
      <c r="K560" t="s">
        <v>27</v>
      </c>
      <c r="L560" t="s">
        <v>27</v>
      </c>
      <c r="M560" t="s">
        <v>27</v>
      </c>
      <c r="N560" s="7">
        <v>45689</v>
      </c>
      <c r="O560" s="6">
        <v>-450</v>
      </c>
      <c r="P560" t="s">
        <v>427</v>
      </c>
      <c r="Q560" t="s">
        <v>179</v>
      </c>
      <c r="R560" t="s">
        <v>30</v>
      </c>
      <c r="S560" t="s">
        <v>145</v>
      </c>
    </row>
    <row r="561" spans="11:19" x14ac:dyDescent="0.25">
      <c r="K561" t="s">
        <v>27</v>
      </c>
      <c r="L561" t="s">
        <v>27</v>
      </c>
      <c r="M561" t="s">
        <v>27</v>
      </c>
      <c r="N561" s="7">
        <v>45717</v>
      </c>
      <c r="O561" s="6">
        <v>-450</v>
      </c>
      <c r="P561" t="s">
        <v>428</v>
      </c>
      <c r="Q561" t="s">
        <v>179</v>
      </c>
      <c r="R561" t="s">
        <v>30</v>
      </c>
      <c r="S561" t="s">
        <v>145</v>
      </c>
    </row>
    <row r="562" spans="11:19" x14ac:dyDescent="0.25">
      <c r="K562" t="s">
        <v>27</v>
      </c>
      <c r="L562" t="s">
        <v>27</v>
      </c>
      <c r="M562" t="s">
        <v>27</v>
      </c>
      <c r="N562" s="7">
        <v>45748</v>
      </c>
      <c r="O562" s="6">
        <v>-450</v>
      </c>
      <c r="P562" t="s">
        <v>429</v>
      </c>
      <c r="Q562" t="s">
        <v>179</v>
      </c>
      <c r="R562" t="s">
        <v>30</v>
      </c>
      <c r="S562" t="s">
        <v>145</v>
      </c>
    </row>
    <row r="563" spans="11:19" x14ac:dyDescent="0.25">
      <c r="K563" t="s">
        <v>27</v>
      </c>
      <c r="L563" t="s">
        <v>27</v>
      </c>
      <c r="M563" t="s">
        <v>27</v>
      </c>
      <c r="N563" s="7">
        <v>45778</v>
      </c>
      <c r="O563" s="6">
        <v>-450</v>
      </c>
      <c r="P563" t="s">
        <v>430</v>
      </c>
      <c r="Q563" t="s">
        <v>179</v>
      </c>
      <c r="R563" t="s">
        <v>30</v>
      </c>
      <c r="S563" t="s">
        <v>145</v>
      </c>
    </row>
    <row r="564" spans="11:19" x14ac:dyDescent="0.25">
      <c r="K564" t="s">
        <v>27</v>
      </c>
      <c r="L564" t="s">
        <v>27</v>
      </c>
      <c r="M564" t="s">
        <v>27</v>
      </c>
      <c r="N564" s="7">
        <v>45809</v>
      </c>
      <c r="O564" s="6">
        <v>-450</v>
      </c>
      <c r="P564" t="s">
        <v>431</v>
      </c>
      <c r="Q564" t="s">
        <v>179</v>
      </c>
      <c r="R564" t="s">
        <v>30</v>
      </c>
      <c r="S564" t="s">
        <v>145</v>
      </c>
    </row>
    <row r="565" spans="11:19" x14ac:dyDescent="0.25">
      <c r="K565" t="s">
        <v>27</v>
      </c>
      <c r="L565" t="s">
        <v>27</v>
      </c>
      <c r="M565" t="s">
        <v>27</v>
      </c>
      <c r="N565" s="7">
        <v>45839</v>
      </c>
      <c r="O565" s="6">
        <v>-450</v>
      </c>
      <c r="P565" t="s">
        <v>432</v>
      </c>
      <c r="Q565" t="s">
        <v>179</v>
      </c>
      <c r="R565" t="s">
        <v>30</v>
      </c>
      <c r="S565" t="s">
        <v>145</v>
      </c>
    </row>
    <row r="566" spans="11:19" x14ac:dyDescent="0.25">
      <c r="K566" t="s">
        <v>27</v>
      </c>
      <c r="L566" t="s">
        <v>27</v>
      </c>
      <c r="M566" t="s">
        <v>27</v>
      </c>
      <c r="N566" s="7">
        <v>45870</v>
      </c>
      <c r="O566" s="6">
        <v>-450</v>
      </c>
      <c r="P566" t="s">
        <v>433</v>
      </c>
      <c r="Q566" t="s">
        <v>179</v>
      </c>
      <c r="R566" t="s">
        <v>30</v>
      </c>
      <c r="S566" t="s">
        <v>145</v>
      </c>
    </row>
    <row r="567" spans="11:19" x14ac:dyDescent="0.25">
      <c r="K567" t="s">
        <v>27</v>
      </c>
      <c r="L567" t="s">
        <v>27</v>
      </c>
      <c r="M567" t="s">
        <v>27</v>
      </c>
      <c r="N567" s="7">
        <v>45901</v>
      </c>
      <c r="O567" s="6">
        <v>-450</v>
      </c>
      <c r="P567" t="s">
        <v>434</v>
      </c>
      <c r="Q567" t="s">
        <v>179</v>
      </c>
      <c r="R567" t="s">
        <v>30</v>
      </c>
      <c r="S567" t="s">
        <v>145</v>
      </c>
    </row>
    <row r="568" spans="11:19" x14ac:dyDescent="0.25">
      <c r="K568" t="s">
        <v>27</v>
      </c>
      <c r="L568" t="s">
        <v>27</v>
      </c>
      <c r="M568" t="s">
        <v>27</v>
      </c>
      <c r="N568" s="7">
        <v>45931</v>
      </c>
      <c r="O568" s="6">
        <v>-450</v>
      </c>
      <c r="P568" t="s">
        <v>435</v>
      </c>
      <c r="Q568" t="s">
        <v>179</v>
      </c>
      <c r="R568" t="s">
        <v>30</v>
      </c>
      <c r="S568" t="s">
        <v>145</v>
      </c>
    </row>
    <row r="569" spans="11:19" x14ac:dyDescent="0.25">
      <c r="K569" t="s">
        <v>27</v>
      </c>
      <c r="L569" t="s">
        <v>27</v>
      </c>
      <c r="M569" t="s">
        <v>27</v>
      </c>
      <c r="N569" s="7">
        <v>45962</v>
      </c>
      <c r="O569" s="6">
        <v>-450</v>
      </c>
      <c r="P569" t="s">
        <v>436</v>
      </c>
      <c r="Q569" t="s">
        <v>179</v>
      </c>
      <c r="R569" t="s">
        <v>30</v>
      </c>
      <c r="S569" t="s">
        <v>145</v>
      </c>
    </row>
    <row r="570" spans="11:19" x14ac:dyDescent="0.25">
      <c r="K570" t="s">
        <v>27</v>
      </c>
      <c r="L570" t="s">
        <v>27</v>
      </c>
      <c r="M570" t="s">
        <v>27</v>
      </c>
      <c r="N570" s="7">
        <v>45992</v>
      </c>
      <c r="O570" s="6">
        <v>-450</v>
      </c>
      <c r="P570" t="s">
        <v>437</v>
      </c>
      <c r="Q570" t="s">
        <v>179</v>
      </c>
      <c r="R570" t="s">
        <v>30</v>
      </c>
      <c r="S570" t="s">
        <v>145</v>
      </c>
    </row>
    <row r="571" spans="11:19" x14ac:dyDescent="0.25">
      <c r="K571" t="s">
        <v>27</v>
      </c>
      <c r="L571" t="s">
        <v>27</v>
      </c>
      <c r="M571" t="s">
        <v>27</v>
      </c>
      <c r="N571" s="7">
        <v>45689</v>
      </c>
      <c r="O571" s="6">
        <v>-1000</v>
      </c>
      <c r="P571" t="s">
        <v>438</v>
      </c>
      <c r="Q571" t="s">
        <v>181</v>
      </c>
      <c r="R571" t="s">
        <v>30</v>
      </c>
      <c r="S571" t="s">
        <v>145</v>
      </c>
    </row>
    <row r="572" spans="11:19" x14ac:dyDescent="0.25">
      <c r="K572" t="s">
        <v>27</v>
      </c>
      <c r="L572" t="s">
        <v>27</v>
      </c>
      <c r="M572" t="s">
        <v>27</v>
      </c>
      <c r="N572" s="7">
        <v>45717</v>
      </c>
      <c r="O572" s="6">
        <v>-1000</v>
      </c>
      <c r="P572" t="s">
        <v>439</v>
      </c>
      <c r="Q572" t="s">
        <v>181</v>
      </c>
      <c r="R572" t="s">
        <v>30</v>
      </c>
      <c r="S572" t="s">
        <v>145</v>
      </c>
    </row>
    <row r="573" spans="11:19" x14ac:dyDescent="0.25">
      <c r="K573" t="s">
        <v>27</v>
      </c>
      <c r="L573" t="s">
        <v>27</v>
      </c>
      <c r="M573" t="s">
        <v>27</v>
      </c>
      <c r="N573" s="7">
        <v>45748</v>
      </c>
      <c r="O573" s="6">
        <v>-1000</v>
      </c>
      <c r="P573" t="s">
        <v>440</v>
      </c>
      <c r="Q573" t="s">
        <v>181</v>
      </c>
      <c r="R573" t="s">
        <v>30</v>
      </c>
      <c r="S573" t="s">
        <v>145</v>
      </c>
    </row>
    <row r="574" spans="11:19" x14ac:dyDescent="0.25">
      <c r="K574" t="s">
        <v>27</v>
      </c>
      <c r="L574" t="s">
        <v>27</v>
      </c>
      <c r="M574" t="s">
        <v>27</v>
      </c>
      <c r="N574" s="7">
        <v>45778</v>
      </c>
      <c r="O574" s="6">
        <v>-1000</v>
      </c>
      <c r="P574" t="s">
        <v>441</v>
      </c>
      <c r="Q574" t="s">
        <v>181</v>
      </c>
      <c r="R574" t="s">
        <v>30</v>
      </c>
      <c r="S574" t="s">
        <v>145</v>
      </c>
    </row>
    <row r="575" spans="11:19" x14ac:dyDescent="0.25">
      <c r="K575" t="s">
        <v>27</v>
      </c>
      <c r="L575" t="s">
        <v>27</v>
      </c>
      <c r="M575" t="s">
        <v>27</v>
      </c>
      <c r="N575" s="7">
        <v>45809</v>
      </c>
      <c r="O575" s="6">
        <v>-1000</v>
      </c>
      <c r="P575" t="s">
        <v>442</v>
      </c>
      <c r="Q575" t="s">
        <v>181</v>
      </c>
      <c r="R575" t="s">
        <v>30</v>
      </c>
      <c r="S575" t="s">
        <v>145</v>
      </c>
    </row>
    <row r="576" spans="11:19" x14ac:dyDescent="0.25">
      <c r="K576" t="s">
        <v>27</v>
      </c>
      <c r="L576" t="s">
        <v>27</v>
      </c>
      <c r="M576" t="s">
        <v>27</v>
      </c>
      <c r="N576" s="7">
        <v>45839</v>
      </c>
      <c r="O576" s="6">
        <v>-1000</v>
      </c>
      <c r="P576" t="s">
        <v>443</v>
      </c>
      <c r="Q576" t="s">
        <v>181</v>
      </c>
      <c r="R576" t="s">
        <v>30</v>
      </c>
      <c r="S576" t="s">
        <v>145</v>
      </c>
    </row>
    <row r="577" spans="11:19" x14ac:dyDescent="0.25">
      <c r="K577" t="s">
        <v>27</v>
      </c>
      <c r="L577" t="s">
        <v>27</v>
      </c>
      <c r="M577" t="s">
        <v>27</v>
      </c>
      <c r="N577" s="7">
        <v>45870</v>
      </c>
      <c r="O577" s="6">
        <v>-1000</v>
      </c>
      <c r="P577" t="s">
        <v>444</v>
      </c>
      <c r="Q577" t="s">
        <v>181</v>
      </c>
      <c r="R577" t="s">
        <v>30</v>
      </c>
      <c r="S577" t="s">
        <v>145</v>
      </c>
    </row>
    <row r="578" spans="11:19" x14ac:dyDescent="0.25">
      <c r="K578" t="s">
        <v>27</v>
      </c>
      <c r="L578" t="s">
        <v>27</v>
      </c>
      <c r="M578" t="s">
        <v>27</v>
      </c>
      <c r="N578" s="7">
        <v>45901</v>
      </c>
      <c r="O578" s="6">
        <v>-1000</v>
      </c>
      <c r="P578" t="s">
        <v>445</v>
      </c>
      <c r="Q578" t="s">
        <v>181</v>
      </c>
      <c r="R578" t="s">
        <v>30</v>
      </c>
      <c r="S578" t="s">
        <v>145</v>
      </c>
    </row>
    <row r="579" spans="11:19" x14ac:dyDescent="0.25">
      <c r="K579" t="s">
        <v>27</v>
      </c>
      <c r="L579" t="s">
        <v>27</v>
      </c>
      <c r="M579" t="s">
        <v>27</v>
      </c>
      <c r="N579" s="7">
        <v>45931</v>
      </c>
      <c r="O579" s="6">
        <v>-1000</v>
      </c>
      <c r="P579" t="s">
        <v>446</v>
      </c>
      <c r="Q579" t="s">
        <v>181</v>
      </c>
      <c r="R579" t="s">
        <v>30</v>
      </c>
      <c r="S579" t="s">
        <v>145</v>
      </c>
    </row>
    <row r="580" spans="11:19" x14ac:dyDescent="0.25">
      <c r="K580" t="s">
        <v>27</v>
      </c>
      <c r="L580" t="s">
        <v>27</v>
      </c>
      <c r="M580" t="s">
        <v>27</v>
      </c>
      <c r="N580" s="7">
        <v>45962</v>
      </c>
      <c r="O580" s="6">
        <v>-1000</v>
      </c>
      <c r="P580" t="s">
        <v>447</v>
      </c>
      <c r="Q580" t="s">
        <v>181</v>
      </c>
      <c r="R580" t="s">
        <v>30</v>
      </c>
      <c r="S580" t="s">
        <v>145</v>
      </c>
    </row>
    <row r="581" spans="11:19" x14ac:dyDescent="0.25">
      <c r="K581" t="s">
        <v>27</v>
      </c>
      <c r="L581" t="s">
        <v>27</v>
      </c>
      <c r="M581" t="s">
        <v>27</v>
      </c>
      <c r="N581" s="7">
        <v>45992</v>
      </c>
      <c r="O581" s="6">
        <v>-1000</v>
      </c>
      <c r="P581" t="s">
        <v>448</v>
      </c>
      <c r="Q581" t="s">
        <v>181</v>
      </c>
      <c r="R581" t="s">
        <v>30</v>
      </c>
      <c r="S581" t="s">
        <v>145</v>
      </c>
    </row>
    <row r="582" spans="11:19" x14ac:dyDescent="0.25">
      <c r="K582" t="s">
        <v>27</v>
      </c>
      <c r="L582" t="s">
        <v>27</v>
      </c>
      <c r="M582" t="s">
        <v>27</v>
      </c>
      <c r="N582" s="7">
        <v>46023</v>
      </c>
      <c r="O582" s="6">
        <v>-1000</v>
      </c>
      <c r="P582" t="s">
        <v>449</v>
      </c>
      <c r="Q582" t="s">
        <v>181</v>
      </c>
      <c r="R582" t="s">
        <v>30</v>
      </c>
      <c r="S582" t="s">
        <v>145</v>
      </c>
    </row>
    <row r="583" spans="11:19" x14ac:dyDescent="0.25">
      <c r="K583" t="s">
        <v>27</v>
      </c>
      <c r="L583" t="s">
        <v>27</v>
      </c>
      <c r="M583" t="s">
        <v>27</v>
      </c>
      <c r="N583" s="7">
        <v>45689</v>
      </c>
      <c r="O583" s="6">
        <v>-8000</v>
      </c>
      <c r="P583" t="s">
        <v>450</v>
      </c>
      <c r="Q583" t="s">
        <v>183</v>
      </c>
      <c r="R583" t="s">
        <v>30</v>
      </c>
      <c r="S583" t="s">
        <v>145</v>
      </c>
    </row>
    <row r="584" spans="11:19" x14ac:dyDescent="0.25">
      <c r="K584" t="s">
        <v>27</v>
      </c>
      <c r="L584" t="s">
        <v>27</v>
      </c>
      <c r="M584" t="s">
        <v>27</v>
      </c>
      <c r="N584" s="7">
        <v>45717</v>
      </c>
      <c r="O584" s="6">
        <v>-8000</v>
      </c>
      <c r="P584" t="s">
        <v>451</v>
      </c>
      <c r="Q584" t="s">
        <v>183</v>
      </c>
      <c r="R584" t="s">
        <v>30</v>
      </c>
      <c r="S584" t="s">
        <v>145</v>
      </c>
    </row>
    <row r="585" spans="11:19" x14ac:dyDescent="0.25">
      <c r="K585" t="s">
        <v>27</v>
      </c>
      <c r="L585" t="s">
        <v>27</v>
      </c>
      <c r="M585" t="s">
        <v>27</v>
      </c>
      <c r="N585" s="7">
        <v>45748</v>
      </c>
      <c r="O585" s="6">
        <v>-8000</v>
      </c>
      <c r="P585" t="s">
        <v>452</v>
      </c>
      <c r="Q585" t="s">
        <v>183</v>
      </c>
      <c r="R585" t="s">
        <v>30</v>
      </c>
      <c r="S585" t="s">
        <v>145</v>
      </c>
    </row>
    <row r="586" spans="11:19" x14ac:dyDescent="0.25">
      <c r="K586" t="s">
        <v>27</v>
      </c>
      <c r="L586" t="s">
        <v>27</v>
      </c>
      <c r="M586" t="s">
        <v>27</v>
      </c>
      <c r="N586" s="7">
        <v>45778</v>
      </c>
      <c r="O586" s="6">
        <v>-8000</v>
      </c>
      <c r="P586" t="s">
        <v>453</v>
      </c>
      <c r="Q586" t="s">
        <v>183</v>
      </c>
      <c r="R586" t="s">
        <v>30</v>
      </c>
      <c r="S586" t="s">
        <v>145</v>
      </c>
    </row>
    <row r="587" spans="11:19" x14ac:dyDescent="0.25">
      <c r="K587" t="s">
        <v>27</v>
      </c>
      <c r="L587" t="s">
        <v>27</v>
      </c>
      <c r="M587" t="s">
        <v>27</v>
      </c>
      <c r="N587" s="7">
        <v>45809</v>
      </c>
      <c r="O587" s="6">
        <v>-8000</v>
      </c>
      <c r="P587" t="s">
        <v>454</v>
      </c>
      <c r="Q587" t="s">
        <v>183</v>
      </c>
      <c r="R587" t="s">
        <v>30</v>
      </c>
      <c r="S587" t="s">
        <v>145</v>
      </c>
    </row>
    <row r="588" spans="11:19" x14ac:dyDescent="0.25">
      <c r="K588" t="s">
        <v>27</v>
      </c>
      <c r="L588" t="s">
        <v>27</v>
      </c>
      <c r="M588" t="s">
        <v>27</v>
      </c>
      <c r="N588" s="7">
        <v>45839</v>
      </c>
      <c r="O588" s="6">
        <v>-8000</v>
      </c>
      <c r="P588" t="s">
        <v>455</v>
      </c>
      <c r="Q588" t="s">
        <v>183</v>
      </c>
      <c r="R588" t="s">
        <v>30</v>
      </c>
      <c r="S588" t="s">
        <v>145</v>
      </c>
    </row>
    <row r="589" spans="11:19" x14ac:dyDescent="0.25">
      <c r="K589" t="s">
        <v>27</v>
      </c>
      <c r="L589" t="s">
        <v>27</v>
      </c>
      <c r="M589" t="s">
        <v>27</v>
      </c>
      <c r="N589" s="7">
        <v>45870</v>
      </c>
      <c r="O589" s="6">
        <v>-8000</v>
      </c>
      <c r="P589" t="s">
        <v>456</v>
      </c>
      <c r="Q589" t="s">
        <v>183</v>
      </c>
      <c r="R589" t="s">
        <v>30</v>
      </c>
      <c r="S589" t="s">
        <v>145</v>
      </c>
    </row>
    <row r="590" spans="11:19" x14ac:dyDescent="0.25">
      <c r="K590" t="s">
        <v>27</v>
      </c>
      <c r="L590" t="s">
        <v>27</v>
      </c>
      <c r="M590" t="s">
        <v>27</v>
      </c>
      <c r="N590" s="7">
        <v>45901</v>
      </c>
      <c r="O590" s="6">
        <v>-8000</v>
      </c>
      <c r="P590" t="s">
        <v>457</v>
      </c>
      <c r="Q590" t="s">
        <v>183</v>
      </c>
      <c r="R590" t="s">
        <v>30</v>
      </c>
      <c r="S590" t="s">
        <v>145</v>
      </c>
    </row>
    <row r="591" spans="11:19" x14ac:dyDescent="0.25">
      <c r="K591" t="s">
        <v>27</v>
      </c>
      <c r="L591" t="s">
        <v>27</v>
      </c>
      <c r="M591" t="s">
        <v>27</v>
      </c>
      <c r="N591" s="7">
        <v>45931</v>
      </c>
      <c r="O591" s="6">
        <v>-8000</v>
      </c>
      <c r="P591" t="s">
        <v>458</v>
      </c>
      <c r="Q591" t="s">
        <v>183</v>
      </c>
      <c r="R591" t="s">
        <v>30</v>
      </c>
      <c r="S591" t="s">
        <v>145</v>
      </c>
    </row>
    <row r="592" spans="11:19" x14ac:dyDescent="0.25">
      <c r="K592" t="s">
        <v>27</v>
      </c>
      <c r="L592" t="s">
        <v>27</v>
      </c>
      <c r="M592" t="s">
        <v>27</v>
      </c>
      <c r="N592" s="7">
        <v>45962</v>
      </c>
      <c r="O592" s="6">
        <v>-8000</v>
      </c>
      <c r="P592" t="s">
        <v>459</v>
      </c>
      <c r="Q592" t="s">
        <v>183</v>
      </c>
      <c r="R592" t="s">
        <v>30</v>
      </c>
      <c r="S592" t="s">
        <v>145</v>
      </c>
    </row>
    <row r="593" spans="11:19" x14ac:dyDescent="0.25">
      <c r="K593" t="s">
        <v>27</v>
      </c>
      <c r="L593" t="s">
        <v>27</v>
      </c>
      <c r="M593" t="s">
        <v>27</v>
      </c>
      <c r="N593" s="7">
        <v>45992</v>
      </c>
      <c r="O593" s="6">
        <v>-8000</v>
      </c>
      <c r="P593" t="s">
        <v>460</v>
      </c>
      <c r="Q593" t="s">
        <v>183</v>
      </c>
      <c r="R593" t="s">
        <v>30</v>
      </c>
      <c r="S593" t="s">
        <v>145</v>
      </c>
    </row>
    <row r="594" spans="11:19" x14ac:dyDescent="0.25">
      <c r="K594" t="s">
        <v>27</v>
      </c>
      <c r="L594" t="s">
        <v>27</v>
      </c>
      <c r="M594" t="s">
        <v>27</v>
      </c>
      <c r="N594" s="7">
        <v>46023</v>
      </c>
      <c r="O594" s="6">
        <v>-8000</v>
      </c>
      <c r="P594" t="s">
        <v>461</v>
      </c>
      <c r="Q594" t="s">
        <v>183</v>
      </c>
      <c r="R594" t="s">
        <v>30</v>
      </c>
      <c r="S594" t="s">
        <v>145</v>
      </c>
    </row>
    <row r="595" spans="11:19" x14ac:dyDescent="0.25">
      <c r="K595" t="s">
        <v>27</v>
      </c>
      <c r="L595" t="s">
        <v>27</v>
      </c>
      <c r="M595" t="s">
        <v>27</v>
      </c>
      <c r="N595" s="7">
        <v>45658</v>
      </c>
      <c r="O595" s="6">
        <v>-600</v>
      </c>
      <c r="P595" t="s">
        <v>462</v>
      </c>
      <c r="Q595" t="s">
        <v>185</v>
      </c>
      <c r="R595" t="s">
        <v>30</v>
      </c>
      <c r="S595" t="s">
        <v>145</v>
      </c>
    </row>
    <row r="596" spans="11:19" x14ac:dyDescent="0.25">
      <c r="K596" t="s">
        <v>27</v>
      </c>
      <c r="L596" t="s">
        <v>27</v>
      </c>
      <c r="M596" t="s">
        <v>27</v>
      </c>
      <c r="N596" s="7">
        <v>45689</v>
      </c>
      <c r="O596" s="6">
        <v>-600</v>
      </c>
      <c r="P596" t="s">
        <v>463</v>
      </c>
      <c r="Q596" t="s">
        <v>185</v>
      </c>
      <c r="R596" t="s">
        <v>30</v>
      </c>
      <c r="S596" t="s">
        <v>145</v>
      </c>
    </row>
    <row r="597" spans="11:19" x14ac:dyDescent="0.25">
      <c r="K597" t="s">
        <v>27</v>
      </c>
      <c r="L597" t="s">
        <v>27</v>
      </c>
      <c r="M597" t="s">
        <v>27</v>
      </c>
      <c r="N597" s="7">
        <v>45717</v>
      </c>
      <c r="O597" s="6">
        <v>-600</v>
      </c>
      <c r="P597" t="s">
        <v>464</v>
      </c>
      <c r="Q597" t="s">
        <v>185</v>
      </c>
      <c r="R597" t="s">
        <v>30</v>
      </c>
      <c r="S597" t="s">
        <v>145</v>
      </c>
    </row>
    <row r="598" spans="11:19" x14ac:dyDescent="0.25">
      <c r="K598" t="s">
        <v>27</v>
      </c>
      <c r="L598" t="s">
        <v>27</v>
      </c>
      <c r="M598" t="s">
        <v>27</v>
      </c>
      <c r="N598" s="7">
        <v>45748</v>
      </c>
      <c r="O598" s="6">
        <v>-600</v>
      </c>
      <c r="P598" t="s">
        <v>465</v>
      </c>
      <c r="Q598" t="s">
        <v>185</v>
      </c>
      <c r="R598" t="s">
        <v>30</v>
      </c>
      <c r="S598" t="s">
        <v>145</v>
      </c>
    </row>
    <row r="599" spans="11:19" x14ac:dyDescent="0.25">
      <c r="K599" t="s">
        <v>27</v>
      </c>
      <c r="L599" t="s">
        <v>27</v>
      </c>
      <c r="M599" t="s">
        <v>27</v>
      </c>
      <c r="N599" s="7">
        <v>45778</v>
      </c>
      <c r="O599" s="6">
        <v>-600</v>
      </c>
      <c r="P599" t="s">
        <v>466</v>
      </c>
      <c r="Q599" t="s">
        <v>185</v>
      </c>
      <c r="R599" t="s">
        <v>30</v>
      </c>
      <c r="S599" t="s">
        <v>145</v>
      </c>
    </row>
    <row r="600" spans="11:19" x14ac:dyDescent="0.25">
      <c r="K600" t="s">
        <v>27</v>
      </c>
      <c r="L600" t="s">
        <v>27</v>
      </c>
      <c r="M600" t="s">
        <v>27</v>
      </c>
      <c r="N600" s="7">
        <v>45809</v>
      </c>
      <c r="O600" s="6">
        <v>-600</v>
      </c>
      <c r="P600" t="s">
        <v>467</v>
      </c>
      <c r="Q600" t="s">
        <v>185</v>
      </c>
      <c r="R600" t="s">
        <v>30</v>
      </c>
      <c r="S600" t="s">
        <v>145</v>
      </c>
    </row>
    <row r="601" spans="11:19" x14ac:dyDescent="0.25">
      <c r="K601" t="s">
        <v>27</v>
      </c>
      <c r="L601" t="s">
        <v>27</v>
      </c>
      <c r="M601" t="s">
        <v>27</v>
      </c>
      <c r="N601" s="7">
        <v>45839</v>
      </c>
      <c r="O601" s="6">
        <v>-600</v>
      </c>
      <c r="P601" t="s">
        <v>468</v>
      </c>
      <c r="Q601" t="s">
        <v>185</v>
      </c>
      <c r="R601" t="s">
        <v>30</v>
      </c>
      <c r="S601" t="s">
        <v>145</v>
      </c>
    </row>
    <row r="602" spans="11:19" x14ac:dyDescent="0.25">
      <c r="K602" t="s">
        <v>27</v>
      </c>
      <c r="L602" t="s">
        <v>27</v>
      </c>
      <c r="M602" t="s">
        <v>27</v>
      </c>
      <c r="N602" s="7">
        <v>45870</v>
      </c>
      <c r="O602" s="6">
        <v>-600</v>
      </c>
      <c r="P602" t="s">
        <v>469</v>
      </c>
      <c r="Q602" t="s">
        <v>185</v>
      </c>
      <c r="R602" t="s">
        <v>30</v>
      </c>
      <c r="S602" t="s">
        <v>145</v>
      </c>
    </row>
    <row r="603" spans="11:19" x14ac:dyDescent="0.25">
      <c r="K603" t="s">
        <v>27</v>
      </c>
      <c r="L603" t="s">
        <v>27</v>
      </c>
      <c r="M603" t="s">
        <v>27</v>
      </c>
      <c r="N603" s="7">
        <v>45901</v>
      </c>
      <c r="O603" s="6">
        <v>-600</v>
      </c>
      <c r="P603" t="s">
        <v>470</v>
      </c>
      <c r="Q603" t="s">
        <v>185</v>
      </c>
      <c r="R603" t="s">
        <v>30</v>
      </c>
      <c r="S603" t="s">
        <v>145</v>
      </c>
    </row>
    <row r="604" spans="11:19" x14ac:dyDescent="0.25">
      <c r="K604" t="s">
        <v>27</v>
      </c>
      <c r="L604" t="s">
        <v>27</v>
      </c>
      <c r="M604" t="s">
        <v>27</v>
      </c>
      <c r="N604" s="7">
        <v>45931</v>
      </c>
      <c r="O604" s="6">
        <v>-600</v>
      </c>
      <c r="P604" t="s">
        <v>471</v>
      </c>
      <c r="Q604" t="s">
        <v>185</v>
      </c>
      <c r="R604" t="s">
        <v>30</v>
      </c>
      <c r="S604" t="s">
        <v>145</v>
      </c>
    </row>
    <row r="605" spans="11:19" x14ac:dyDescent="0.25">
      <c r="K605" t="s">
        <v>27</v>
      </c>
      <c r="L605" t="s">
        <v>27</v>
      </c>
      <c r="M605" t="s">
        <v>27</v>
      </c>
      <c r="N605" s="7">
        <v>45962</v>
      </c>
      <c r="O605" s="6">
        <v>-600</v>
      </c>
      <c r="P605" t="s">
        <v>472</v>
      </c>
      <c r="Q605" t="s">
        <v>185</v>
      </c>
      <c r="R605" t="s">
        <v>30</v>
      </c>
      <c r="S605" t="s">
        <v>145</v>
      </c>
    </row>
    <row r="606" spans="11:19" x14ac:dyDescent="0.25">
      <c r="K606" t="s">
        <v>27</v>
      </c>
      <c r="L606" t="s">
        <v>27</v>
      </c>
      <c r="M606" t="s">
        <v>27</v>
      </c>
      <c r="N606" s="7">
        <v>45992</v>
      </c>
      <c r="O606" s="6">
        <v>-600</v>
      </c>
      <c r="P606" t="s">
        <v>473</v>
      </c>
      <c r="Q606" t="s">
        <v>185</v>
      </c>
      <c r="R606" t="s">
        <v>30</v>
      </c>
      <c r="S606" t="s">
        <v>145</v>
      </c>
    </row>
    <row r="607" spans="11:19" x14ac:dyDescent="0.25">
      <c r="K607" t="s">
        <v>27</v>
      </c>
      <c r="L607" t="s">
        <v>27</v>
      </c>
      <c r="M607" t="s">
        <v>27</v>
      </c>
      <c r="N607" s="7">
        <v>45658</v>
      </c>
      <c r="O607" s="6">
        <v>-1800</v>
      </c>
      <c r="P607" t="s">
        <v>474</v>
      </c>
      <c r="Q607" t="s">
        <v>187</v>
      </c>
      <c r="R607" t="s">
        <v>30</v>
      </c>
      <c r="S607" t="s">
        <v>145</v>
      </c>
    </row>
    <row r="608" spans="11:19" x14ac:dyDescent="0.25">
      <c r="K608" t="s">
        <v>27</v>
      </c>
      <c r="L608" t="s">
        <v>27</v>
      </c>
      <c r="M608" t="s">
        <v>27</v>
      </c>
      <c r="N608" s="7">
        <v>45689</v>
      </c>
      <c r="O608" s="6">
        <v>-1800</v>
      </c>
      <c r="P608" t="s">
        <v>475</v>
      </c>
      <c r="Q608" t="s">
        <v>187</v>
      </c>
      <c r="R608" t="s">
        <v>30</v>
      </c>
      <c r="S608" t="s">
        <v>145</v>
      </c>
    </row>
    <row r="609" spans="11:19" x14ac:dyDescent="0.25">
      <c r="K609" t="s">
        <v>27</v>
      </c>
      <c r="L609" t="s">
        <v>27</v>
      </c>
      <c r="M609" t="s">
        <v>27</v>
      </c>
      <c r="N609" s="7">
        <v>45717</v>
      </c>
      <c r="O609" s="6">
        <v>-1800</v>
      </c>
      <c r="P609" t="s">
        <v>476</v>
      </c>
      <c r="Q609" t="s">
        <v>187</v>
      </c>
      <c r="R609" t="s">
        <v>30</v>
      </c>
      <c r="S609" t="s">
        <v>145</v>
      </c>
    </row>
    <row r="610" spans="11:19" x14ac:dyDescent="0.25">
      <c r="K610" t="s">
        <v>27</v>
      </c>
      <c r="L610" t="s">
        <v>27</v>
      </c>
      <c r="M610" t="s">
        <v>27</v>
      </c>
      <c r="N610" s="7">
        <v>45748</v>
      </c>
      <c r="O610" s="6">
        <v>-1800</v>
      </c>
      <c r="P610" t="s">
        <v>477</v>
      </c>
      <c r="Q610" t="s">
        <v>187</v>
      </c>
      <c r="R610" t="s">
        <v>30</v>
      </c>
      <c r="S610" t="s">
        <v>145</v>
      </c>
    </row>
    <row r="611" spans="11:19" x14ac:dyDescent="0.25">
      <c r="K611" t="s">
        <v>27</v>
      </c>
      <c r="L611" t="s">
        <v>27</v>
      </c>
      <c r="M611" t="s">
        <v>27</v>
      </c>
      <c r="N611" s="7">
        <v>45778</v>
      </c>
      <c r="O611" s="6">
        <v>-1800</v>
      </c>
      <c r="P611" t="s">
        <v>478</v>
      </c>
      <c r="Q611" t="s">
        <v>187</v>
      </c>
      <c r="R611" t="s">
        <v>30</v>
      </c>
      <c r="S611" t="s">
        <v>145</v>
      </c>
    </row>
    <row r="612" spans="11:19" x14ac:dyDescent="0.25">
      <c r="K612" t="s">
        <v>27</v>
      </c>
      <c r="L612" t="s">
        <v>27</v>
      </c>
      <c r="M612" t="s">
        <v>27</v>
      </c>
      <c r="N612" s="7">
        <v>45809</v>
      </c>
      <c r="O612" s="6">
        <v>-1800</v>
      </c>
      <c r="P612" t="s">
        <v>479</v>
      </c>
      <c r="Q612" t="s">
        <v>187</v>
      </c>
      <c r="R612" t="s">
        <v>30</v>
      </c>
      <c r="S612" t="s">
        <v>145</v>
      </c>
    </row>
    <row r="613" spans="11:19" x14ac:dyDescent="0.25">
      <c r="K613" t="s">
        <v>27</v>
      </c>
      <c r="L613" t="s">
        <v>27</v>
      </c>
      <c r="M613" t="s">
        <v>27</v>
      </c>
      <c r="N613" s="7">
        <v>45839</v>
      </c>
      <c r="O613" s="6">
        <v>-1800</v>
      </c>
      <c r="P613" t="s">
        <v>480</v>
      </c>
      <c r="Q613" t="s">
        <v>187</v>
      </c>
      <c r="R613" t="s">
        <v>30</v>
      </c>
      <c r="S613" t="s">
        <v>145</v>
      </c>
    </row>
    <row r="614" spans="11:19" x14ac:dyDescent="0.25">
      <c r="K614" t="s">
        <v>27</v>
      </c>
      <c r="L614" t="s">
        <v>27</v>
      </c>
      <c r="M614" t="s">
        <v>27</v>
      </c>
      <c r="N614" s="7">
        <v>45870</v>
      </c>
      <c r="O614" s="6">
        <v>-1800</v>
      </c>
      <c r="P614" t="s">
        <v>481</v>
      </c>
      <c r="Q614" t="s">
        <v>187</v>
      </c>
      <c r="R614" t="s">
        <v>30</v>
      </c>
      <c r="S614" t="s">
        <v>145</v>
      </c>
    </row>
    <row r="615" spans="11:19" x14ac:dyDescent="0.25">
      <c r="K615" t="s">
        <v>27</v>
      </c>
      <c r="L615" t="s">
        <v>27</v>
      </c>
      <c r="M615" t="s">
        <v>27</v>
      </c>
      <c r="N615" s="7">
        <v>45901</v>
      </c>
      <c r="O615" s="6">
        <v>-1800</v>
      </c>
      <c r="P615" t="s">
        <v>482</v>
      </c>
      <c r="Q615" t="s">
        <v>187</v>
      </c>
      <c r="R615" t="s">
        <v>30</v>
      </c>
      <c r="S615" t="s">
        <v>145</v>
      </c>
    </row>
    <row r="616" spans="11:19" x14ac:dyDescent="0.25">
      <c r="K616" t="s">
        <v>27</v>
      </c>
      <c r="L616" t="s">
        <v>27</v>
      </c>
      <c r="M616" t="s">
        <v>27</v>
      </c>
      <c r="N616" s="7">
        <v>45931</v>
      </c>
      <c r="O616" s="6">
        <v>-1800</v>
      </c>
      <c r="P616" t="s">
        <v>483</v>
      </c>
      <c r="Q616" t="s">
        <v>187</v>
      </c>
      <c r="R616" t="s">
        <v>30</v>
      </c>
      <c r="S616" t="s">
        <v>145</v>
      </c>
    </row>
    <row r="617" spans="11:19" x14ac:dyDescent="0.25">
      <c r="K617" t="s">
        <v>27</v>
      </c>
      <c r="L617" t="s">
        <v>27</v>
      </c>
      <c r="M617" t="s">
        <v>27</v>
      </c>
      <c r="N617" s="7">
        <v>45962</v>
      </c>
      <c r="O617" s="6">
        <v>-1800</v>
      </c>
      <c r="P617" t="s">
        <v>484</v>
      </c>
      <c r="Q617" t="s">
        <v>187</v>
      </c>
      <c r="R617" t="s">
        <v>30</v>
      </c>
      <c r="S617" t="s">
        <v>145</v>
      </c>
    </row>
    <row r="618" spans="11:19" x14ac:dyDescent="0.25">
      <c r="K618" t="s">
        <v>27</v>
      </c>
      <c r="L618" t="s">
        <v>27</v>
      </c>
      <c r="M618" t="s">
        <v>27</v>
      </c>
      <c r="N618" s="7">
        <v>45992</v>
      </c>
      <c r="O618" s="6">
        <v>-1800</v>
      </c>
      <c r="P618" t="s">
        <v>485</v>
      </c>
      <c r="Q618" t="s">
        <v>187</v>
      </c>
      <c r="R618" t="s">
        <v>30</v>
      </c>
      <c r="S618" t="s">
        <v>145</v>
      </c>
    </row>
    <row r="619" spans="11:19" x14ac:dyDescent="0.25">
      <c r="K619" t="s">
        <v>27</v>
      </c>
      <c r="L619" t="s">
        <v>27</v>
      </c>
      <c r="M619" t="s">
        <v>27</v>
      </c>
      <c r="N619" s="7">
        <v>45658</v>
      </c>
      <c r="O619" s="6">
        <v>-2400</v>
      </c>
      <c r="P619" t="s">
        <v>486</v>
      </c>
      <c r="Q619" t="s">
        <v>189</v>
      </c>
      <c r="R619" t="s">
        <v>30</v>
      </c>
      <c r="S619" t="s">
        <v>145</v>
      </c>
    </row>
    <row r="620" spans="11:19" x14ac:dyDescent="0.25">
      <c r="K620" t="s">
        <v>27</v>
      </c>
      <c r="L620" t="s">
        <v>27</v>
      </c>
      <c r="M620" t="s">
        <v>27</v>
      </c>
      <c r="N620" s="7">
        <v>45689</v>
      </c>
      <c r="O620" s="6">
        <v>-2400</v>
      </c>
      <c r="P620" t="s">
        <v>487</v>
      </c>
      <c r="Q620" t="s">
        <v>189</v>
      </c>
      <c r="R620" t="s">
        <v>30</v>
      </c>
      <c r="S620" t="s">
        <v>145</v>
      </c>
    </row>
    <row r="621" spans="11:19" x14ac:dyDescent="0.25">
      <c r="K621" t="s">
        <v>27</v>
      </c>
      <c r="L621" t="s">
        <v>27</v>
      </c>
      <c r="M621" t="s">
        <v>27</v>
      </c>
      <c r="N621" s="7">
        <v>45717</v>
      </c>
      <c r="O621" s="6">
        <v>-2400</v>
      </c>
      <c r="P621" t="s">
        <v>488</v>
      </c>
      <c r="Q621" t="s">
        <v>189</v>
      </c>
      <c r="R621" t="s">
        <v>30</v>
      </c>
      <c r="S621" t="s">
        <v>145</v>
      </c>
    </row>
    <row r="622" spans="11:19" x14ac:dyDescent="0.25">
      <c r="K622" t="s">
        <v>27</v>
      </c>
      <c r="L622" t="s">
        <v>27</v>
      </c>
      <c r="M622" t="s">
        <v>27</v>
      </c>
      <c r="N622" s="7">
        <v>45748</v>
      </c>
      <c r="O622" s="6">
        <v>-2400</v>
      </c>
      <c r="P622" t="s">
        <v>489</v>
      </c>
      <c r="Q622" t="s">
        <v>189</v>
      </c>
      <c r="R622" t="s">
        <v>30</v>
      </c>
      <c r="S622" t="s">
        <v>145</v>
      </c>
    </row>
    <row r="623" spans="11:19" x14ac:dyDescent="0.25">
      <c r="K623" t="s">
        <v>27</v>
      </c>
      <c r="L623" t="s">
        <v>27</v>
      </c>
      <c r="M623" t="s">
        <v>27</v>
      </c>
      <c r="N623" s="7">
        <v>45778</v>
      </c>
      <c r="O623" s="6">
        <v>-2400</v>
      </c>
      <c r="P623" t="s">
        <v>490</v>
      </c>
      <c r="Q623" t="s">
        <v>189</v>
      </c>
      <c r="R623" t="s">
        <v>30</v>
      </c>
      <c r="S623" t="s">
        <v>145</v>
      </c>
    </row>
    <row r="624" spans="11:19" x14ac:dyDescent="0.25">
      <c r="K624" t="s">
        <v>27</v>
      </c>
      <c r="L624" t="s">
        <v>27</v>
      </c>
      <c r="M624" t="s">
        <v>27</v>
      </c>
      <c r="N624" s="7">
        <v>45809</v>
      </c>
      <c r="O624" s="6">
        <v>-2400</v>
      </c>
      <c r="P624" t="s">
        <v>491</v>
      </c>
      <c r="Q624" t="s">
        <v>189</v>
      </c>
      <c r="R624" t="s">
        <v>30</v>
      </c>
      <c r="S624" t="s">
        <v>145</v>
      </c>
    </row>
    <row r="625" spans="11:19" x14ac:dyDescent="0.25">
      <c r="K625" t="s">
        <v>27</v>
      </c>
      <c r="L625" t="s">
        <v>27</v>
      </c>
      <c r="M625" t="s">
        <v>27</v>
      </c>
      <c r="N625" s="7">
        <v>45839</v>
      </c>
      <c r="O625" s="6">
        <v>-2400</v>
      </c>
      <c r="P625" t="s">
        <v>492</v>
      </c>
      <c r="Q625" t="s">
        <v>189</v>
      </c>
      <c r="R625" t="s">
        <v>30</v>
      </c>
      <c r="S625" t="s">
        <v>145</v>
      </c>
    </row>
    <row r="626" spans="11:19" x14ac:dyDescent="0.25">
      <c r="K626" t="s">
        <v>27</v>
      </c>
      <c r="L626" t="s">
        <v>27</v>
      </c>
      <c r="M626" t="s">
        <v>27</v>
      </c>
      <c r="N626" s="7">
        <v>45870</v>
      </c>
      <c r="O626" s="6">
        <v>-2400</v>
      </c>
      <c r="P626" t="s">
        <v>493</v>
      </c>
      <c r="Q626" t="s">
        <v>189</v>
      </c>
      <c r="R626" t="s">
        <v>30</v>
      </c>
      <c r="S626" t="s">
        <v>145</v>
      </c>
    </row>
    <row r="627" spans="11:19" x14ac:dyDescent="0.25">
      <c r="K627" t="s">
        <v>27</v>
      </c>
      <c r="L627" t="s">
        <v>27</v>
      </c>
      <c r="M627" t="s">
        <v>27</v>
      </c>
      <c r="N627" s="7">
        <v>45901</v>
      </c>
      <c r="O627" s="6">
        <v>-2400</v>
      </c>
      <c r="P627" t="s">
        <v>494</v>
      </c>
      <c r="Q627" t="s">
        <v>189</v>
      </c>
      <c r="R627" t="s">
        <v>30</v>
      </c>
      <c r="S627" t="s">
        <v>145</v>
      </c>
    </row>
    <row r="628" spans="11:19" x14ac:dyDescent="0.25">
      <c r="K628" t="s">
        <v>27</v>
      </c>
      <c r="L628" t="s">
        <v>27</v>
      </c>
      <c r="M628" t="s">
        <v>27</v>
      </c>
      <c r="N628" s="7">
        <v>45931</v>
      </c>
      <c r="O628" s="6">
        <v>-2400</v>
      </c>
      <c r="P628" t="s">
        <v>495</v>
      </c>
      <c r="Q628" t="s">
        <v>189</v>
      </c>
      <c r="R628" t="s">
        <v>30</v>
      </c>
      <c r="S628" t="s">
        <v>145</v>
      </c>
    </row>
    <row r="629" spans="11:19" x14ac:dyDescent="0.25">
      <c r="K629" t="s">
        <v>27</v>
      </c>
      <c r="L629" t="s">
        <v>27</v>
      </c>
      <c r="M629" t="s">
        <v>27</v>
      </c>
      <c r="N629" s="7">
        <v>45962</v>
      </c>
      <c r="O629" s="6">
        <v>-2400</v>
      </c>
      <c r="P629" t="s">
        <v>496</v>
      </c>
      <c r="Q629" t="s">
        <v>189</v>
      </c>
      <c r="R629" t="s">
        <v>30</v>
      </c>
      <c r="S629" t="s">
        <v>145</v>
      </c>
    </row>
    <row r="630" spans="11:19" x14ac:dyDescent="0.25">
      <c r="K630" t="s">
        <v>27</v>
      </c>
      <c r="L630" t="s">
        <v>27</v>
      </c>
      <c r="M630" t="s">
        <v>27</v>
      </c>
      <c r="N630" s="7">
        <v>45992</v>
      </c>
      <c r="O630" s="6">
        <v>-2400</v>
      </c>
      <c r="P630" t="s">
        <v>497</v>
      </c>
      <c r="Q630" t="s">
        <v>189</v>
      </c>
      <c r="R630" t="s">
        <v>30</v>
      </c>
      <c r="S630" t="s">
        <v>145</v>
      </c>
    </row>
    <row r="631" spans="11:19" x14ac:dyDescent="0.25">
      <c r="K631" t="s">
        <v>27</v>
      </c>
      <c r="L631" t="s">
        <v>27</v>
      </c>
      <c r="M631" t="s">
        <v>27</v>
      </c>
      <c r="N631" s="7">
        <v>45689</v>
      </c>
      <c r="O631" s="6">
        <v>-2500</v>
      </c>
      <c r="P631" t="s">
        <v>498</v>
      </c>
      <c r="Q631" t="s">
        <v>191</v>
      </c>
      <c r="R631" t="s">
        <v>30</v>
      </c>
      <c r="S631" t="s">
        <v>145</v>
      </c>
    </row>
    <row r="632" spans="11:19" x14ac:dyDescent="0.25">
      <c r="K632" t="s">
        <v>27</v>
      </c>
      <c r="L632" t="s">
        <v>27</v>
      </c>
      <c r="M632" t="s">
        <v>27</v>
      </c>
      <c r="N632" s="7">
        <v>45717</v>
      </c>
      <c r="O632" s="6">
        <v>-2500</v>
      </c>
      <c r="P632" t="s">
        <v>499</v>
      </c>
      <c r="Q632" t="s">
        <v>191</v>
      </c>
      <c r="R632" t="s">
        <v>30</v>
      </c>
      <c r="S632" t="s">
        <v>145</v>
      </c>
    </row>
    <row r="633" spans="11:19" x14ac:dyDescent="0.25">
      <c r="K633" t="s">
        <v>27</v>
      </c>
      <c r="L633" t="s">
        <v>27</v>
      </c>
      <c r="M633" t="s">
        <v>27</v>
      </c>
      <c r="N633" s="7">
        <v>45748</v>
      </c>
      <c r="O633" s="6">
        <v>-2500</v>
      </c>
      <c r="P633" t="s">
        <v>500</v>
      </c>
      <c r="Q633" t="s">
        <v>191</v>
      </c>
      <c r="R633" t="s">
        <v>30</v>
      </c>
      <c r="S633" t="s">
        <v>145</v>
      </c>
    </row>
    <row r="634" spans="11:19" x14ac:dyDescent="0.25">
      <c r="K634" t="s">
        <v>27</v>
      </c>
      <c r="L634" t="s">
        <v>27</v>
      </c>
      <c r="M634" t="s">
        <v>27</v>
      </c>
      <c r="N634" s="7">
        <v>45778</v>
      </c>
      <c r="O634" s="6">
        <v>-2500</v>
      </c>
      <c r="P634" t="s">
        <v>501</v>
      </c>
      <c r="Q634" t="s">
        <v>191</v>
      </c>
      <c r="R634" t="s">
        <v>30</v>
      </c>
      <c r="S634" t="s">
        <v>145</v>
      </c>
    </row>
    <row r="635" spans="11:19" x14ac:dyDescent="0.25">
      <c r="K635" t="s">
        <v>27</v>
      </c>
      <c r="L635" t="s">
        <v>27</v>
      </c>
      <c r="M635" t="s">
        <v>27</v>
      </c>
      <c r="N635" s="7">
        <v>45809</v>
      </c>
      <c r="O635" s="6">
        <v>-2500</v>
      </c>
      <c r="P635" t="s">
        <v>502</v>
      </c>
      <c r="Q635" t="s">
        <v>191</v>
      </c>
      <c r="R635" t="s">
        <v>30</v>
      </c>
      <c r="S635" t="s">
        <v>145</v>
      </c>
    </row>
    <row r="636" spans="11:19" x14ac:dyDescent="0.25">
      <c r="K636" t="s">
        <v>27</v>
      </c>
      <c r="L636" t="s">
        <v>27</v>
      </c>
      <c r="M636" t="s">
        <v>27</v>
      </c>
      <c r="N636" s="7">
        <v>45839</v>
      </c>
      <c r="O636" s="6">
        <v>-2500</v>
      </c>
      <c r="P636" t="s">
        <v>503</v>
      </c>
      <c r="Q636" t="s">
        <v>191</v>
      </c>
      <c r="R636" t="s">
        <v>30</v>
      </c>
      <c r="S636" t="s">
        <v>145</v>
      </c>
    </row>
    <row r="637" spans="11:19" x14ac:dyDescent="0.25">
      <c r="K637" t="s">
        <v>27</v>
      </c>
      <c r="L637" t="s">
        <v>27</v>
      </c>
      <c r="M637" t="s">
        <v>27</v>
      </c>
      <c r="N637" s="7">
        <v>45870</v>
      </c>
      <c r="O637" s="6">
        <v>-2500</v>
      </c>
      <c r="P637" t="s">
        <v>504</v>
      </c>
      <c r="Q637" t="s">
        <v>191</v>
      </c>
      <c r="R637" t="s">
        <v>30</v>
      </c>
      <c r="S637" t="s">
        <v>145</v>
      </c>
    </row>
    <row r="638" spans="11:19" x14ac:dyDescent="0.25">
      <c r="K638" t="s">
        <v>27</v>
      </c>
      <c r="L638" t="s">
        <v>27</v>
      </c>
      <c r="M638" t="s">
        <v>27</v>
      </c>
      <c r="N638" s="7">
        <v>45901</v>
      </c>
      <c r="O638" s="6">
        <v>-2500</v>
      </c>
      <c r="P638" t="s">
        <v>505</v>
      </c>
      <c r="Q638" t="s">
        <v>191</v>
      </c>
      <c r="R638" t="s">
        <v>30</v>
      </c>
      <c r="S638" t="s">
        <v>145</v>
      </c>
    </row>
    <row r="639" spans="11:19" x14ac:dyDescent="0.25">
      <c r="K639" t="s">
        <v>27</v>
      </c>
      <c r="L639" t="s">
        <v>27</v>
      </c>
      <c r="M639" t="s">
        <v>27</v>
      </c>
      <c r="N639" s="7">
        <v>45931</v>
      </c>
      <c r="O639" s="6">
        <v>-2500</v>
      </c>
      <c r="P639" t="s">
        <v>506</v>
      </c>
      <c r="Q639" t="s">
        <v>191</v>
      </c>
      <c r="R639" t="s">
        <v>30</v>
      </c>
      <c r="S639" t="s">
        <v>145</v>
      </c>
    </row>
    <row r="640" spans="11:19" x14ac:dyDescent="0.25">
      <c r="K640" t="s">
        <v>27</v>
      </c>
      <c r="L640" t="s">
        <v>27</v>
      </c>
      <c r="M640" t="s">
        <v>27</v>
      </c>
      <c r="N640" s="7">
        <v>45962</v>
      </c>
      <c r="O640" s="6">
        <v>-2500</v>
      </c>
      <c r="P640" t="s">
        <v>507</v>
      </c>
      <c r="Q640" t="s">
        <v>191</v>
      </c>
      <c r="R640" t="s">
        <v>30</v>
      </c>
      <c r="S640" t="s">
        <v>145</v>
      </c>
    </row>
    <row r="641" spans="11:19" x14ac:dyDescent="0.25">
      <c r="K641" t="s">
        <v>27</v>
      </c>
      <c r="L641" t="s">
        <v>27</v>
      </c>
      <c r="M641" t="s">
        <v>27</v>
      </c>
      <c r="N641" s="7">
        <v>45992</v>
      </c>
      <c r="O641" s="6">
        <v>-2500</v>
      </c>
      <c r="P641" t="s">
        <v>508</v>
      </c>
      <c r="Q641" t="s">
        <v>191</v>
      </c>
      <c r="R641" t="s">
        <v>30</v>
      </c>
      <c r="S641" t="s">
        <v>145</v>
      </c>
    </row>
    <row r="642" spans="11:19" x14ac:dyDescent="0.25">
      <c r="K642" t="s">
        <v>27</v>
      </c>
      <c r="L642" t="s">
        <v>27</v>
      </c>
      <c r="M642" t="s">
        <v>27</v>
      </c>
      <c r="N642" s="7">
        <v>46023</v>
      </c>
      <c r="O642" s="6">
        <v>-2500</v>
      </c>
      <c r="P642" t="s">
        <v>509</v>
      </c>
      <c r="Q642" t="s">
        <v>191</v>
      </c>
      <c r="R642" t="s">
        <v>30</v>
      </c>
      <c r="S642" t="s">
        <v>145</v>
      </c>
    </row>
    <row r="643" spans="11:19" x14ac:dyDescent="0.25">
      <c r="K643" t="s">
        <v>27</v>
      </c>
      <c r="L643" t="s">
        <v>27</v>
      </c>
      <c r="M643" t="s">
        <v>27</v>
      </c>
      <c r="N643" s="7">
        <v>45689</v>
      </c>
      <c r="O643" s="6">
        <v>-1000</v>
      </c>
      <c r="P643" t="s">
        <v>510</v>
      </c>
      <c r="Q643" t="s">
        <v>193</v>
      </c>
      <c r="R643" t="s">
        <v>30</v>
      </c>
      <c r="S643" t="s">
        <v>145</v>
      </c>
    </row>
    <row r="644" spans="11:19" x14ac:dyDescent="0.25">
      <c r="K644" t="s">
        <v>27</v>
      </c>
      <c r="L644" t="s">
        <v>27</v>
      </c>
      <c r="M644" t="s">
        <v>27</v>
      </c>
      <c r="N644" s="7">
        <v>45717</v>
      </c>
      <c r="O644" s="6">
        <v>-1000</v>
      </c>
      <c r="P644" t="s">
        <v>511</v>
      </c>
      <c r="Q644" t="s">
        <v>193</v>
      </c>
      <c r="R644" t="s">
        <v>30</v>
      </c>
      <c r="S644" t="s">
        <v>145</v>
      </c>
    </row>
    <row r="645" spans="11:19" x14ac:dyDescent="0.25">
      <c r="K645" t="s">
        <v>27</v>
      </c>
      <c r="L645" t="s">
        <v>27</v>
      </c>
      <c r="M645" t="s">
        <v>27</v>
      </c>
      <c r="N645" s="7">
        <v>45748</v>
      </c>
      <c r="O645" s="6">
        <v>-1000</v>
      </c>
      <c r="P645" t="s">
        <v>512</v>
      </c>
      <c r="Q645" t="s">
        <v>193</v>
      </c>
      <c r="R645" t="s">
        <v>30</v>
      </c>
      <c r="S645" t="s">
        <v>145</v>
      </c>
    </row>
    <row r="646" spans="11:19" x14ac:dyDescent="0.25">
      <c r="K646" t="s">
        <v>27</v>
      </c>
      <c r="L646" t="s">
        <v>27</v>
      </c>
      <c r="M646" t="s">
        <v>27</v>
      </c>
      <c r="N646" s="7">
        <v>45778</v>
      </c>
      <c r="O646" s="6">
        <v>-1000</v>
      </c>
      <c r="P646" t="s">
        <v>513</v>
      </c>
      <c r="Q646" t="s">
        <v>193</v>
      </c>
      <c r="R646" t="s">
        <v>30</v>
      </c>
      <c r="S646" t="s">
        <v>145</v>
      </c>
    </row>
    <row r="647" spans="11:19" x14ac:dyDescent="0.25">
      <c r="K647" t="s">
        <v>27</v>
      </c>
      <c r="L647" t="s">
        <v>27</v>
      </c>
      <c r="M647" t="s">
        <v>27</v>
      </c>
      <c r="N647" s="7">
        <v>45809</v>
      </c>
      <c r="O647" s="6">
        <v>-1000</v>
      </c>
      <c r="P647" t="s">
        <v>514</v>
      </c>
      <c r="Q647" t="s">
        <v>193</v>
      </c>
      <c r="R647" t="s">
        <v>30</v>
      </c>
      <c r="S647" t="s">
        <v>145</v>
      </c>
    </row>
    <row r="648" spans="11:19" x14ac:dyDescent="0.25">
      <c r="K648" t="s">
        <v>27</v>
      </c>
      <c r="L648" t="s">
        <v>27</v>
      </c>
      <c r="M648" t="s">
        <v>27</v>
      </c>
      <c r="N648" s="7">
        <v>45839</v>
      </c>
      <c r="O648" s="6">
        <v>-1000</v>
      </c>
      <c r="P648" t="s">
        <v>515</v>
      </c>
      <c r="Q648" t="s">
        <v>193</v>
      </c>
      <c r="R648" t="s">
        <v>30</v>
      </c>
      <c r="S648" t="s">
        <v>145</v>
      </c>
    </row>
    <row r="649" spans="11:19" x14ac:dyDescent="0.25">
      <c r="K649" t="s">
        <v>27</v>
      </c>
      <c r="L649" t="s">
        <v>27</v>
      </c>
      <c r="M649" t="s">
        <v>27</v>
      </c>
      <c r="N649" s="7">
        <v>45870</v>
      </c>
      <c r="O649" s="6">
        <v>-1000</v>
      </c>
      <c r="P649" t="s">
        <v>516</v>
      </c>
      <c r="Q649" t="s">
        <v>193</v>
      </c>
      <c r="R649" t="s">
        <v>30</v>
      </c>
      <c r="S649" t="s">
        <v>145</v>
      </c>
    </row>
    <row r="650" spans="11:19" x14ac:dyDescent="0.25">
      <c r="K650" t="s">
        <v>27</v>
      </c>
      <c r="L650" t="s">
        <v>27</v>
      </c>
      <c r="M650" t="s">
        <v>27</v>
      </c>
      <c r="N650" s="7">
        <v>45901</v>
      </c>
      <c r="O650" s="6">
        <v>-1000</v>
      </c>
      <c r="P650" t="s">
        <v>517</v>
      </c>
      <c r="Q650" t="s">
        <v>193</v>
      </c>
      <c r="R650" t="s">
        <v>30</v>
      </c>
      <c r="S650" t="s">
        <v>145</v>
      </c>
    </row>
    <row r="651" spans="11:19" x14ac:dyDescent="0.25">
      <c r="K651" t="s">
        <v>27</v>
      </c>
      <c r="L651" t="s">
        <v>27</v>
      </c>
      <c r="M651" t="s">
        <v>27</v>
      </c>
      <c r="N651" s="7">
        <v>45931</v>
      </c>
      <c r="O651" s="6">
        <v>-1000</v>
      </c>
      <c r="P651" t="s">
        <v>518</v>
      </c>
      <c r="Q651" t="s">
        <v>193</v>
      </c>
      <c r="R651" t="s">
        <v>30</v>
      </c>
      <c r="S651" t="s">
        <v>145</v>
      </c>
    </row>
    <row r="652" spans="11:19" x14ac:dyDescent="0.25">
      <c r="K652" t="s">
        <v>27</v>
      </c>
      <c r="L652" t="s">
        <v>27</v>
      </c>
      <c r="M652" t="s">
        <v>27</v>
      </c>
      <c r="N652" s="7">
        <v>45962</v>
      </c>
      <c r="O652" s="6">
        <v>-1000</v>
      </c>
      <c r="P652" t="s">
        <v>519</v>
      </c>
      <c r="Q652" t="s">
        <v>193</v>
      </c>
      <c r="R652" t="s">
        <v>30</v>
      </c>
      <c r="S652" t="s">
        <v>145</v>
      </c>
    </row>
    <row r="653" spans="11:19" x14ac:dyDescent="0.25">
      <c r="K653" t="s">
        <v>27</v>
      </c>
      <c r="L653" t="s">
        <v>27</v>
      </c>
      <c r="M653" t="s">
        <v>27</v>
      </c>
      <c r="N653" s="7">
        <v>45992</v>
      </c>
      <c r="O653" s="6">
        <v>-1000</v>
      </c>
      <c r="P653" t="s">
        <v>520</v>
      </c>
      <c r="Q653" t="s">
        <v>193</v>
      </c>
      <c r="R653" t="s">
        <v>30</v>
      </c>
      <c r="S653" t="s">
        <v>145</v>
      </c>
    </row>
    <row r="654" spans="11:19" x14ac:dyDescent="0.25">
      <c r="K654" t="s">
        <v>27</v>
      </c>
      <c r="L654" t="s">
        <v>27</v>
      </c>
      <c r="M654" t="s">
        <v>27</v>
      </c>
      <c r="N654" s="7">
        <v>46023</v>
      </c>
      <c r="O654" s="6">
        <v>-1000</v>
      </c>
      <c r="P654" t="s">
        <v>521</v>
      </c>
      <c r="Q654" t="s">
        <v>193</v>
      </c>
      <c r="R654" t="s">
        <v>30</v>
      </c>
      <c r="S654" t="s">
        <v>145</v>
      </c>
    </row>
    <row r="655" spans="11:19" x14ac:dyDescent="0.25">
      <c r="K655" t="s">
        <v>27</v>
      </c>
      <c r="L655" t="s">
        <v>27</v>
      </c>
      <c r="M655" t="s">
        <v>27</v>
      </c>
      <c r="N655" s="7">
        <v>45689</v>
      </c>
      <c r="O655" s="6">
        <v>-2300</v>
      </c>
      <c r="P655" t="s">
        <v>522</v>
      </c>
      <c r="Q655" t="s">
        <v>195</v>
      </c>
      <c r="R655" t="s">
        <v>30</v>
      </c>
      <c r="S655" t="s">
        <v>145</v>
      </c>
    </row>
    <row r="656" spans="11:19" x14ac:dyDescent="0.25">
      <c r="K656" t="s">
        <v>27</v>
      </c>
      <c r="L656" t="s">
        <v>27</v>
      </c>
      <c r="M656" t="s">
        <v>27</v>
      </c>
      <c r="N656" s="7">
        <v>45717</v>
      </c>
      <c r="O656" s="6">
        <v>-2300</v>
      </c>
      <c r="P656" t="s">
        <v>523</v>
      </c>
      <c r="Q656" t="s">
        <v>195</v>
      </c>
      <c r="R656" t="s">
        <v>30</v>
      </c>
      <c r="S656" t="s">
        <v>145</v>
      </c>
    </row>
    <row r="657" spans="11:19" x14ac:dyDescent="0.25">
      <c r="K657" t="s">
        <v>27</v>
      </c>
      <c r="L657" t="s">
        <v>27</v>
      </c>
      <c r="M657" t="s">
        <v>27</v>
      </c>
      <c r="N657" s="7">
        <v>45748</v>
      </c>
      <c r="O657" s="6">
        <v>-2300</v>
      </c>
      <c r="P657" t="s">
        <v>524</v>
      </c>
      <c r="Q657" t="s">
        <v>195</v>
      </c>
      <c r="R657" t="s">
        <v>30</v>
      </c>
      <c r="S657" t="s">
        <v>145</v>
      </c>
    </row>
    <row r="658" spans="11:19" x14ac:dyDescent="0.25">
      <c r="K658" t="s">
        <v>27</v>
      </c>
      <c r="L658" t="s">
        <v>27</v>
      </c>
      <c r="M658" t="s">
        <v>27</v>
      </c>
      <c r="N658" s="7">
        <v>45778</v>
      </c>
      <c r="O658" s="6">
        <v>-2300</v>
      </c>
      <c r="P658" t="s">
        <v>525</v>
      </c>
      <c r="Q658" t="s">
        <v>195</v>
      </c>
      <c r="R658" t="s">
        <v>30</v>
      </c>
      <c r="S658" t="s">
        <v>145</v>
      </c>
    </row>
    <row r="659" spans="11:19" x14ac:dyDescent="0.25">
      <c r="K659" t="s">
        <v>27</v>
      </c>
      <c r="L659" t="s">
        <v>27</v>
      </c>
      <c r="M659" t="s">
        <v>27</v>
      </c>
      <c r="N659" s="7">
        <v>45809</v>
      </c>
      <c r="O659" s="6">
        <v>-2300</v>
      </c>
      <c r="P659" t="s">
        <v>526</v>
      </c>
      <c r="Q659" t="s">
        <v>195</v>
      </c>
      <c r="R659" t="s">
        <v>30</v>
      </c>
      <c r="S659" t="s">
        <v>145</v>
      </c>
    </row>
    <row r="660" spans="11:19" x14ac:dyDescent="0.25">
      <c r="K660" t="s">
        <v>27</v>
      </c>
      <c r="L660" t="s">
        <v>27</v>
      </c>
      <c r="M660" t="s">
        <v>27</v>
      </c>
      <c r="N660" s="7">
        <v>45839</v>
      </c>
      <c r="O660" s="6">
        <v>-2300</v>
      </c>
      <c r="P660" t="s">
        <v>527</v>
      </c>
      <c r="Q660" t="s">
        <v>195</v>
      </c>
      <c r="R660" t="s">
        <v>30</v>
      </c>
      <c r="S660" t="s">
        <v>145</v>
      </c>
    </row>
    <row r="661" spans="11:19" x14ac:dyDescent="0.25">
      <c r="K661" t="s">
        <v>27</v>
      </c>
      <c r="L661" t="s">
        <v>27</v>
      </c>
      <c r="M661" t="s">
        <v>27</v>
      </c>
      <c r="N661" s="7">
        <v>45870</v>
      </c>
      <c r="O661" s="6">
        <v>-2300</v>
      </c>
      <c r="P661" t="s">
        <v>528</v>
      </c>
      <c r="Q661" t="s">
        <v>195</v>
      </c>
      <c r="R661" t="s">
        <v>30</v>
      </c>
      <c r="S661" t="s">
        <v>145</v>
      </c>
    </row>
    <row r="662" spans="11:19" x14ac:dyDescent="0.25">
      <c r="K662" t="s">
        <v>27</v>
      </c>
      <c r="L662" t="s">
        <v>27</v>
      </c>
      <c r="M662" t="s">
        <v>27</v>
      </c>
      <c r="N662" s="7">
        <v>45901</v>
      </c>
      <c r="O662" s="6">
        <v>-2300</v>
      </c>
      <c r="P662" t="s">
        <v>529</v>
      </c>
      <c r="Q662" t="s">
        <v>195</v>
      </c>
      <c r="R662" t="s">
        <v>30</v>
      </c>
      <c r="S662" t="s">
        <v>145</v>
      </c>
    </row>
    <row r="663" spans="11:19" x14ac:dyDescent="0.25">
      <c r="K663" t="s">
        <v>27</v>
      </c>
      <c r="L663" t="s">
        <v>27</v>
      </c>
      <c r="M663" t="s">
        <v>27</v>
      </c>
      <c r="N663" s="7">
        <v>45931</v>
      </c>
      <c r="O663" s="6">
        <v>-2300</v>
      </c>
      <c r="P663" t="s">
        <v>530</v>
      </c>
      <c r="Q663" t="s">
        <v>195</v>
      </c>
      <c r="R663" t="s">
        <v>30</v>
      </c>
      <c r="S663" t="s">
        <v>145</v>
      </c>
    </row>
    <row r="664" spans="11:19" x14ac:dyDescent="0.25">
      <c r="K664" t="s">
        <v>27</v>
      </c>
      <c r="L664" t="s">
        <v>27</v>
      </c>
      <c r="M664" t="s">
        <v>27</v>
      </c>
      <c r="N664" s="7">
        <v>45962</v>
      </c>
      <c r="O664" s="6">
        <v>-2300</v>
      </c>
      <c r="P664" t="s">
        <v>531</v>
      </c>
      <c r="Q664" t="s">
        <v>195</v>
      </c>
      <c r="R664" t="s">
        <v>30</v>
      </c>
      <c r="S664" t="s">
        <v>145</v>
      </c>
    </row>
    <row r="665" spans="11:19" x14ac:dyDescent="0.25">
      <c r="K665" t="s">
        <v>27</v>
      </c>
      <c r="L665" t="s">
        <v>27</v>
      </c>
      <c r="M665" t="s">
        <v>27</v>
      </c>
      <c r="N665" s="7">
        <v>45992</v>
      </c>
      <c r="O665" s="6">
        <v>-2300</v>
      </c>
      <c r="P665" t="s">
        <v>532</v>
      </c>
      <c r="Q665" t="s">
        <v>195</v>
      </c>
      <c r="R665" t="s">
        <v>30</v>
      </c>
      <c r="S665" t="s">
        <v>145</v>
      </c>
    </row>
    <row r="666" spans="11:19" x14ac:dyDescent="0.25">
      <c r="K666" t="s">
        <v>27</v>
      </c>
      <c r="L666" t="s">
        <v>27</v>
      </c>
      <c r="M666" t="s">
        <v>27</v>
      </c>
      <c r="N666" s="7">
        <v>46023</v>
      </c>
      <c r="O666" s="6">
        <v>-2300</v>
      </c>
      <c r="P666" t="s">
        <v>533</v>
      </c>
      <c r="Q666" t="s">
        <v>195</v>
      </c>
      <c r="R666" t="s">
        <v>30</v>
      </c>
      <c r="S666" t="s">
        <v>145</v>
      </c>
    </row>
    <row r="667" spans="11:19" x14ac:dyDescent="0.25">
      <c r="K667" t="s">
        <v>27</v>
      </c>
      <c r="L667" t="s">
        <v>27</v>
      </c>
      <c r="M667" t="s">
        <v>27</v>
      </c>
      <c r="N667" s="7">
        <v>45689</v>
      </c>
      <c r="O667" s="6">
        <v>-7500</v>
      </c>
      <c r="P667" t="s">
        <v>534</v>
      </c>
      <c r="Q667" t="s">
        <v>197</v>
      </c>
      <c r="R667" t="s">
        <v>30</v>
      </c>
      <c r="S667" t="s">
        <v>145</v>
      </c>
    </row>
    <row r="668" spans="11:19" x14ac:dyDescent="0.25">
      <c r="K668" t="s">
        <v>27</v>
      </c>
      <c r="L668" t="s">
        <v>27</v>
      </c>
      <c r="M668" t="s">
        <v>27</v>
      </c>
      <c r="N668" s="7">
        <v>45717</v>
      </c>
      <c r="O668" s="6">
        <v>-7500</v>
      </c>
      <c r="P668" t="s">
        <v>535</v>
      </c>
      <c r="Q668" t="s">
        <v>197</v>
      </c>
      <c r="R668" t="s">
        <v>30</v>
      </c>
      <c r="S668" t="s">
        <v>145</v>
      </c>
    </row>
    <row r="669" spans="11:19" x14ac:dyDescent="0.25">
      <c r="K669" t="s">
        <v>27</v>
      </c>
      <c r="L669" t="s">
        <v>27</v>
      </c>
      <c r="M669" t="s">
        <v>27</v>
      </c>
      <c r="N669" s="7">
        <v>45748</v>
      </c>
      <c r="O669" s="6">
        <v>-7500</v>
      </c>
      <c r="P669" t="s">
        <v>536</v>
      </c>
      <c r="Q669" t="s">
        <v>197</v>
      </c>
      <c r="R669" t="s">
        <v>30</v>
      </c>
      <c r="S669" t="s">
        <v>145</v>
      </c>
    </row>
    <row r="670" spans="11:19" x14ac:dyDescent="0.25">
      <c r="K670" t="s">
        <v>27</v>
      </c>
      <c r="L670" t="s">
        <v>27</v>
      </c>
      <c r="M670" t="s">
        <v>27</v>
      </c>
      <c r="N670" s="7">
        <v>45778</v>
      </c>
      <c r="O670" s="6">
        <v>-7500</v>
      </c>
      <c r="P670" t="s">
        <v>537</v>
      </c>
      <c r="Q670" t="s">
        <v>197</v>
      </c>
      <c r="R670" t="s">
        <v>30</v>
      </c>
      <c r="S670" t="s">
        <v>145</v>
      </c>
    </row>
    <row r="671" spans="11:19" x14ac:dyDescent="0.25">
      <c r="K671" t="s">
        <v>27</v>
      </c>
      <c r="L671" t="s">
        <v>27</v>
      </c>
      <c r="M671" t="s">
        <v>27</v>
      </c>
      <c r="N671" s="7">
        <v>45809</v>
      </c>
      <c r="O671" s="6">
        <v>-7500</v>
      </c>
      <c r="P671" t="s">
        <v>538</v>
      </c>
      <c r="Q671" t="s">
        <v>197</v>
      </c>
      <c r="R671" t="s">
        <v>30</v>
      </c>
      <c r="S671" t="s">
        <v>145</v>
      </c>
    </row>
    <row r="672" spans="11:19" x14ac:dyDescent="0.25">
      <c r="K672" t="s">
        <v>27</v>
      </c>
      <c r="L672" t="s">
        <v>27</v>
      </c>
      <c r="M672" t="s">
        <v>27</v>
      </c>
      <c r="N672" s="7">
        <v>45839</v>
      </c>
      <c r="O672" s="6">
        <v>-7500</v>
      </c>
      <c r="P672" t="s">
        <v>539</v>
      </c>
      <c r="Q672" t="s">
        <v>197</v>
      </c>
      <c r="R672" t="s">
        <v>30</v>
      </c>
      <c r="S672" t="s">
        <v>145</v>
      </c>
    </row>
    <row r="673" spans="11:19" x14ac:dyDescent="0.25">
      <c r="K673" t="s">
        <v>27</v>
      </c>
      <c r="L673" t="s">
        <v>27</v>
      </c>
      <c r="M673" t="s">
        <v>27</v>
      </c>
      <c r="N673" s="7">
        <v>45870</v>
      </c>
      <c r="O673" s="6">
        <v>-7500</v>
      </c>
      <c r="P673" t="s">
        <v>540</v>
      </c>
      <c r="Q673" t="s">
        <v>197</v>
      </c>
      <c r="R673" t="s">
        <v>30</v>
      </c>
      <c r="S673" t="s">
        <v>145</v>
      </c>
    </row>
    <row r="674" spans="11:19" x14ac:dyDescent="0.25">
      <c r="K674" t="s">
        <v>27</v>
      </c>
      <c r="L674" t="s">
        <v>27</v>
      </c>
      <c r="M674" t="s">
        <v>27</v>
      </c>
      <c r="N674" s="7">
        <v>45901</v>
      </c>
      <c r="O674" s="6">
        <v>-7500</v>
      </c>
      <c r="P674" t="s">
        <v>541</v>
      </c>
      <c r="Q674" t="s">
        <v>197</v>
      </c>
      <c r="R674" t="s">
        <v>30</v>
      </c>
      <c r="S674" t="s">
        <v>145</v>
      </c>
    </row>
    <row r="675" spans="11:19" x14ac:dyDescent="0.25">
      <c r="K675" t="s">
        <v>27</v>
      </c>
      <c r="L675" t="s">
        <v>27</v>
      </c>
      <c r="M675" t="s">
        <v>27</v>
      </c>
      <c r="N675" s="7">
        <v>45931</v>
      </c>
      <c r="O675" s="6">
        <v>-7500</v>
      </c>
      <c r="P675" t="s">
        <v>542</v>
      </c>
      <c r="Q675" t="s">
        <v>197</v>
      </c>
      <c r="R675" t="s">
        <v>30</v>
      </c>
      <c r="S675" t="s">
        <v>145</v>
      </c>
    </row>
    <row r="676" spans="11:19" x14ac:dyDescent="0.25">
      <c r="K676" t="s">
        <v>27</v>
      </c>
      <c r="L676" t="s">
        <v>27</v>
      </c>
      <c r="M676" t="s">
        <v>27</v>
      </c>
      <c r="N676" s="7">
        <v>45962</v>
      </c>
      <c r="O676" s="6">
        <v>-7500</v>
      </c>
      <c r="P676" t="s">
        <v>543</v>
      </c>
      <c r="Q676" t="s">
        <v>197</v>
      </c>
      <c r="R676" t="s">
        <v>30</v>
      </c>
      <c r="S676" t="s">
        <v>145</v>
      </c>
    </row>
    <row r="677" spans="11:19" x14ac:dyDescent="0.25">
      <c r="K677" t="s">
        <v>27</v>
      </c>
      <c r="L677" t="s">
        <v>27</v>
      </c>
      <c r="M677" t="s">
        <v>27</v>
      </c>
      <c r="N677" s="7">
        <v>45992</v>
      </c>
      <c r="O677" s="6">
        <v>-7500</v>
      </c>
      <c r="P677" t="s">
        <v>544</v>
      </c>
      <c r="Q677" t="s">
        <v>197</v>
      </c>
      <c r="R677" t="s">
        <v>30</v>
      </c>
      <c r="S677" t="s">
        <v>145</v>
      </c>
    </row>
    <row r="678" spans="11:19" x14ac:dyDescent="0.25">
      <c r="K678" t="s">
        <v>27</v>
      </c>
      <c r="L678" t="s">
        <v>27</v>
      </c>
      <c r="M678" t="s">
        <v>27</v>
      </c>
      <c r="N678" s="7">
        <v>46023</v>
      </c>
      <c r="O678" s="6">
        <v>-7500</v>
      </c>
      <c r="P678" t="s">
        <v>545</v>
      </c>
      <c r="Q678" t="s">
        <v>197</v>
      </c>
      <c r="R678" t="s">
        <v>30</v>
      </c>
      <c r="S678" t="s">
        <v>145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2024-10-18T21:38:40Z</dcterms:modified>
  <cp:category/>
  <cp:contentStatus/>
</cp:coreProperties>
</file>
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jcbrothers-my.sharepoint.com/personal/jefferson_lojasjckids_com_br/Documents/Cursos/OrcamentoPadaria/150_Tributos/"/>
    </mc:Choice>
  </mc:AlternateContent>
  <xr:revisionPtr revIDLastSave="121" documentId="8_{3FC7CE8A-A8E3-48C6-BAED-60166CE70BF3}" xr6:coauthVersionLast="47" xr6:coauthVersionMax="47" xr10:uidLastSave="{25D41BCD-E25C-4F2B-B527-E09180C556BA}"/>
  <bookViews>
    <workbookView xWindow="-120" yWindow="-120" windowWidth="38640" windowHeight="21120" activeTab="2" xr2:uid="{64839B45-BED4-44CB-BECE-81EFC6CBC252}"/>
  </bookViews>
  <sheets>
    <sheet name="Parametros" sheetId="1" r:id="rId1"/>
    <sheet name="Erros" sheetId="2" r:id="rId2"/>
    <sheet name="Fim" sheetId="3" r:id="rId3"/>
  </sheets>
  <definedNames>
    <definedName name="DadosExternos_1" localSheetId="1" hidden="1">Erros!$A$1:$C$2</definedName>
    <definedName name="DadosExternos_1" localSheetId="2" hidden="1">Fim!$A$6:$H$18</definedName>
    <definedName name="DadosExternos_2" localSheetId="2" hidden="1">Fim!$J$6:$Q$18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3" l="1"/>
  <c r="B3" i="3" s="1"/>
  <c r="B1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4209152-E945-4B76-A958-5E419C05419E}" keepAlive="1" name="Consulta - DRE" description="Conexão com a consulta 'DRE' na pasta de trabalho." type="5" refreshedVersion="8" saveData="1">
    <dbPr connection="Provider=Microsoft.Mashup.OleDb.1;Data Source=$Workbook$;Location=DRE;Extended Properties=&quot;&quot;" command="SELECT * FROM [DRE]"/>
  </connection>
  <connection id="2" xr16:uid="{D53B7FDA-D6D3-4DFA-9568-430B20790A4E}" keepAlive="1" name="Consulta - Erros" description="Conexão com a consulta 'Erros' na pasta de trabalho." type="5" refreshedVersion="8" saveData="1">
    <dbPr connection="Provider=Microsoft.Mashup.OleDb.1;Data Source=$Workbook$;Location=Erros;Extended Properties=&quot;&quot;" command="SELECT * FROM [Erros]"/>
  </connection>
  <connection id="3" xr16:uid="{1491C8E9-4FE0-48A1-AB40-A0DFE1B904E7}" keepAlive="1" name="Consulta - FLCX" description="Conexão com a consulta 'FLCX' na pasta de trabalho." type="5" refreshedVersion="8" saveData="1">
    <dbPr connection="Provider=Microsoft.Mashup.OleDb.1;Data Source=$Workbook$;Location=FLCX;Extended Properties=&quot;&quot;" command="SELECT * FROM [FLCX]"/>
  </connection>
  <connection id="4" xr16:uid="{5734BBA3-62C3-44F9-905F-D748DD3806E4}" keepAlive="1" name="Consulta - fxVerificaErros" description="Conexão com a consulta 'fxVerificaErros' na pasta de trabalho." type="5" refreshedVersion="0" saveData="1">
    <dbPr connection="Provider=Microsoft.Mashup.OleDb.1;Data Source=$Workbook$;Location=fxVerificaErros;Extended Properties=&quot;&quot;" command="SELECT * FROM [fxVerificaErros]"/>
  </connection>
  <connection id="5" xr16:uid="{73D8256D-CB0C-4F9D-870E-2EAFD71628BF}" keepAlive="1" name="Consulta - ParametrosGlobais" description="Conexão com a consulta 'ParametrosGlobais' na pasta de trabalho." type="5" refreshedVersion="0" saveData="1">
    <dbPr connection="Provider=Microsoft.Mashup.OleDb.1;Data Source=$Workbook$;Location=ParametrosGlobais;Extended Properties=&quot;&quot;" command="SELECT * FROM [ParametrosGlobais]"/>
  </connection>
  <connection id="6" xr16:uid="{64ABC487-0B01-46A8-BBA0-C81B6ADC452A}" keepAlive="1" name="Consulta - ParametrosLocais" description="Conexão com a consulta 'ParametrosLocais' na pasta de trabalho." type="5" refreshedVersion="0" saveData="1">
    <dbPr connection="Provider=Microsoft.Mashup.OleDb.1;Data Source=$Workbook$;Location=ParametrosLocais;Extended Properties=&quot;&quot;" command="SELECT * FROM [ParametrosLocais]"/>
  </connection>
  <connection id="7" xr16:uid="{A13C9C9A-7485-48E7-A145-4833EE57E2D0}" keepAlive="1" name="Consulta - pCaminho" description="Conexão com a consulta 'pCaminho' na pasta de trabalho." type="5" refreshedVersion="0" saveData="1">
    <dbPr connection="Provider=Microsoft.Mashup.OleDb.1;Data Source=$Workbook$;Location=pCaminho;Extended Properties=&quot;&quot;" command="SELECT * FROM [pCaminho]"/>
  </connection>
  <connection id="8" xr16:uid="{A1249D23-A022-48A8-89E1-A829A73E32BE}" keepAlive="1" name="Consulta - pCaminhoRaiz" description="Conexão com a consulta 'pCaminhoRaiz' na pasta de trabalho." type="5" refreshedVersion="0" saveData="1">
    <dbPr connection="Provider=Microsoft.Mashup.OleDb.1;Data Source=$Workbook$;Location=pCaminhoRaiz;Extended Properties=&quot;&quot;" command="SELECT * FROM [pCaminhoRaiz]"/>
  </connection>
  <connection id="9" xr16:uid="{FAC8BEC2-92BE-4C09-9FA0-1171FA08E8A4}" keepAlive="1" name="Consulta - pDataFinal" description="Conexão com a consulta 'pDataFinal' na pasta de trabalho." type="5" refreshedVersion="0" saveData="1">
    <dbPr connection="Provider=Microsoft.Mashup.OleDb.1;Data Source=$Workbook$;Location=pDataFinal;Extended Properties=&quot;&quot;" command="SELECT * FROM [pDataFinal]"/>
  </connection>
  <connection id="10" xr16:uid="{36632848-D3B7-435D-9482-8DDDDF8097EF}" keepAlive="1" name="Consulta - pDataInicial" description="Conexão com a consulta 'pDataInicial' na pasta de trabalho." type="5" refreshedVersion="0" saveData="1">
    <dbPr connection="Provider=Microsoft.Mashup.OleDb.1;Data Source=$Workbook$;Location=pDataInicial;Extended Properties=&quot;&quot;" command="SELECT * FROM [pDataInicial]"/>
  </connection>
  <connection id="11" xr16:uid="{CB802F45-EA2C-48F3-B925-33F212C60F6B}" keepAlive="1" name="Consulta - PercImposto" description="Conexão com a consulta 'PercImposto' na pasta de trabalho." type="5" refreshedVersion="0" background="1">
    <dbPr connection="Provider=Microsoft.Mashup.OleDb.1;Data Source=$Workbook$;Location=PercImposto;Extended Properties=&quot;&quot;" command="SELECT * FROM [PercImposto]"/>
  </connection>
</connections>
</file>

<file path=xl/sharedStrings.xml><?xml version="1.0" encoding="utf-8"?>
<sst xmlns="http://schemas.openxmlformats.org/spreadsheetml/2006/main" count="180" uniqueCount="43">
  <si>
    <t>Valor</t>
  </si>
  <si>
    <t>Descricao</t>
  </si>
  <si>
    <t>Local</t>
  </si>
  <si>
    <t>Caminho do arquivo onde está salvo</t>
  </si>
  <si>
    <t>Arquivo</t>
  </si>
  <si>
    <t>Nome do arquivo</t>
  </si>
  <si>
    <t>Last Refresh</t>
  </si>
  <si>
    <t>Data da última atualização</t>
  </si>
  <si>
    <t>Parametro</t>
  </si>
  <si>
    <t>Name</t>
  </si>
  <si>
    <t>Detail</t>
  </si>
  <si>
    <t>Message</t>
  </si>
  <si>
    <t>https://jcbrothers-my.sharepoint.com/personal/jefferson_lojasjckids_com_br/Documents/Cursos/OrcamentoPadaria/150_Tributos</t>
  </si>
  <si>
    <t>ZZZ_Trampolim.xlsm</t>
  </si>
  <si>
    <t>Aliquota</t>
  </si>
  <si>
    <t>Aliquota de imposto Simples Nacional</t>
  </si>
  <si>
    <t>DRE</t>
  </si>
  <si>
    <t>FLCX</t>
  </si>
  <si>
    <t>BASE DRE</t>
  </si>
  <si>
    <t>BASE FLCX</t>
  </si>
  <si>
    <t>EMPRESA</t>
  </si>
  <si>
    <t>FILIAL</t>
  </si>
  <si>
    <t>NEGOCIO</t>
  </si>
  <si>
    <t>DATA</t>
  </si>
  <si>
    <t>VALOR</t>
  </si>
  <si>
    <t>HISTORICO</t>
  </si>
  <si>
    <t>CONTA</t>
  </si>
  <si>
    <t>CENCUS</t>
  </si>
  <si>
    <t>1</t>
  </si>
  <si>
    <t>IMPOSTOS PREV. - PERIODO 01/2025</t>
  </si>
  <si>
    <t>3101</t>
  </si>
  <si>
    <t>99</t>
  </si>
  <si>
    <t>IMPOSTOS PREV. - PERIODO 02/2025</t>
  </si>
  <si>
    <t>IMPOSTOS PREV. - PERIODO 03/2025</t>
  </si>
  <si>
    <t>IMPOSTOS PREV. - PERIODO 04/2025</t>
  </si>
  <si>
    <t>IMPOSTOS PREV. - PERIODO 05/2025</t>
  </si>
  <si>
    <t>IMPOSTOS PREV. - PERIODO 06/2025</t>
  </si>
  <si>
    <t>IMPOSTOS PREV. - PERIODO 07/2025</t>
  </si>
  <si>
    <t>IMPOSTOS PREV. - PERIODO 08/2025</t>
  </si>
  <si>
    <t>IMPOSTOS PREV. - PERIODO 09/2025</t>
  </si>
  <si>
    <t>IMPOSTOS PREV. - PERIODO 10/2025</t>
  </si>
  <si>
    <t>IMPOSTOS PREV. - PERIODO 11/2025</t>
  </si>
  <si>
    <t>IMPOSTOS PREV. - PERIODO 12/2025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</si>
</sst>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10">
    <xf numFmtId="0" fontId="0" fillId="0" borderId="0" xfId="0"/>
    <xf numFmtId="22" fontId="0" fillId="0" borderId="0" xfId="0" applyNumberFormat="1" applyAlignment="1">
      <alignment horizontal="left"/>
    </xf>
    <xf numFmtId="10" fontId="0" fillId="0" borderId="0" xfId="0" applyNumberFormat="1" applyAlignment="1">
      <alignment horizontal="left"/>
    </xf>
    <xf numFmtId="0" fontId="2" fillId="2" borderId="1" xfId="0" applyFont="1" applyFill="1" applyBorder="1"/>
    <xf numFmtId="0" fontId="2" fillId="3" borderId="2" xfId="0" applyFont="1" applyFill="1" applyBorder="1"/>
    <xf numFmtId="4" fontId="0" fillId="4" borderId="0" xfId="0" applyNumberFormat="1" applyFill="1"/>
    <xf numFmtId="4" fontId="0" fillId="5" borderId="0" xfId="0" applyNumberFormat="1" applyFill="1"/>
    <xf numFmtId="4" fontId="0" fillId="0" borderId="0" xfId="0" applyNumberFormat="1"/>
    <xf numFmtId="0" fontId="0" fillId="0" borderId="0" xfId="0" applyNumberFormat="1"/>
    <xf numFmtId="14" fontId="0" fillId="0" borderId="0" xfId="0" applyNumberFormat="1"/>
  </cellXfs>
  <cellStyles count="1">
    <cellStyle name="Normal" xfId="0" builtinId="0"/>
  </cellStyles>
  <dxfs count="6">
    <dxf>
      <numFmt numFmtId="4" formatCode="#,##0.00"/>
    </dxf>
    <dxf>
      <numFmt numFmtId="0" formatCode="General"/>
    </dxf>
    <dxf>
      <numFmt numFmtId="19" formatCode="dd/mm/yyyy"/>
    </dxf>
    <dxf>
      <numFmt numFmtId="4" formatCode="#,##0.0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123825</xdr:colOff>
          <xdr:row>8</xdr:row>
          <xdr:rowOff>66675</xdr:rowOff>
        </xdr:from>
        <xdr:to>
          <xdr:col>2</xdr:col>
          <xdr:colOff>2238375</xdr:colOff>
          <xdr:row>10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2" xr16:uid="{ED5FCB6C-909E-4E57-8578-E30BF114D5A3}" autoFormatId="16" applyNumberFormats="0" applyBorderFormats="0" applyFontFormats="0" applyPatternFormats="0" applyAlignmentFormats="0" applyWidthHeightFormats="0">
  <queryTableRefresh nextId="4">
    <queryTableFields count="3">
      <queryTableField id="1" name="Name" tableColumnId="1"/>
      <queryTableField id="2" name="Detail" tableColumnId="2"/>
      <queryTableField id="3" name="Message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1" xr16:uid="{0BECB472-7F7A-4E10-8E54-CCBCCED23CB0}" autoFormatId="16" applyNumberFormats="0" applyBorderFormats="0" applyFontFormats="0" applyPatternFormats="0" applyAlignmentFormats="0" applyWidthHeightFormats="0">
  <queryTableRefresh nextId="9">
    <queryTableFields count="8">
      <queryTableField id="1" name="EMPRESA" tableColumnId="1"/>
      <queryTableField id="2" name="FILIAL" tableColumnId="2"/>
      <queryTableField id="3" name="NEGOCIO" tableColumnId="3"/>
      <queryTableField id="4" name="DATA" tableColumnId="4"/>
      <queryTableField id="5" name="VALOR" tableColumnId="5"/>
      <queryTableField id="6" name="HISTORICO" tableColumnId="6"/>
      <queryTableField id="7" name="CONTA" tableColumnId="7"/>
      <queryTableField id="8" name="CENCUS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3" xr16:uid="{C4788CAB-A8A3-420F-8A63-443CF160E03E}" autoFormatId="16" applyNumberFormats="0" applyBorderFormats="0" applyFontFormats="0" applyPatternFormats="0" applyAlignmentFormats="0" applyWidthHeightFormats="0">
  <queryTableRefresh nextId="9">
    <queryTableFields count="8">
      <queryTableField id="1" name="EMPRESA" tableColumnId="1"/>
      <queryTableField id="2" name="FILIAL" tableColumnId="2"/>
      <queryTableField id="3" name="NEGOCIO" tableColumnId="3"/>
      <queryTableField id="4" name="DATA" tableColumnId="4"/>
      <queryTableField id="5" name="VALOR" tableColumnId="5"/>
      <queryTableField id="6" name="HISTORICO" tableColumnId="6"/>
      <queryTableField id="7" name="CONTA" tableColumnId="7"/>
      <queryTableField id="8" name="CENCUS" tableColumnId="8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CBAD96-040E-4ED1-87CD-CC35A36049C1}" name="ParametrosLocais" displayName="ParametrosLocais" ref="A1:C5" totalsRowShown="0">
  <autoFilter ref="A1:C5" xr:uid="{4CCBAD96-040E-4ED1-87CD-CC35A36049C1}"/>
  <tableColumns count="3">
    <tableColumn id="1" xr3:uid="{9EFAD6E3-1649-41A4-A89A-C5BCBDC84B9B}" name="Parametro"/>
    <tableColumn id="2" xr3:uid="{57ECCE2D-F468-453F-B00F-2B313D148309}" name="Valor"/>
    <tableColumn id="3" xr3:uid="{E8ABBF16-0CD0-4B81-BEB1-A821EB646F59}" name="Descrica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DCCA6C-23F2-4DF6-9F1B-C24C1BEC9764}" name="Erros" displayName="Erros" ref="A1:C2" tableType="queryTable" insertRow="1" totalsRowShown="0">
  <autoFilter ref="A1:C2" xr:uid="{12DCCA6C-23F2-4DF6-9F1B-C24C1BEC9764}"/>
  <tableColumns count="3">
    <tableColumn id="1" xr3:uid="{0985609E-B35D-4718-B5D5-15D1650E9A90}" uniqueName="1" name="Name" queryTableFieldId="1" dataDxfId="5"/>
    <tableColumn id="2" xr3:uid="{0D62EA26-37D8-433D-95C5-23BAC3AE65A3}" uniqueName="2" name="Detail" queryTableFieldId="2"/>
    <tableColumn id="3" xr3:uid="{E43541A9-8B51-4111-AC80-150C6DB6E1A7}" uniqueName="3" name="Message" queryTableFieldId="3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07CB2A2-1712-4897-AFBA-574690EAB6C2}" name="DRE" displayName="DRE" ref="A6:H18" tableType="queryTable" totalsRowShown="0">
  <autoFilter ref="A6:H18" xr:uid="{907CB2A2-1712-4897-AFBA-574690EAB6C2}"/>
  <tableColumns count="8">
    <tableColumn id="1" xr3:uid="{C2C99A26-55D5-48D0-84AA-6F4689FF7852}" uniqueName="1" name="EMPRESA" queryTableFieldId="1"/>
    <tableColumn id="2" xr3:uid="{AC64456D-8164-4769-A9A0-CDD61042EAB3}" uniqueName="2" name="FILIAL" queryTableFieldId="2"/>
    <tableColumn id="3" xr3:uid="{D6E2F8D5-C3BC-433F-8A79-BDFF57D94087}" uniqueName="3" name="NEGOCIO" queryTableFieldId="3"/>
    <tableColumn id="4" xr3:uid="{CC9969BC-7086-4280-967F-F9A049A10B1A}" uniqueName="4" name="DATA" queryTableFieldId="4"/>
    <tableColumn id="5" xr3:uid="{C9C9497F-B66A-48C5-B759-236A93106D0C}" uniqueName="5" name="VALOR" queryTableFieldId="5" dataDxfId="3"/>
    <tableColumn id="6" xr3:uid="{0495BD35-F95E-4CBA-A1C9-D8B9F22DAFF1}" uniqueName="6" name="HISTORICO" queryTableFieldId="6" dataDxfId="4"/>
    <tableColumn id="7" xr3:uid="{D887B787-8D10-4B99-B978-FC0F37983D06}" uniqueName="7" name="CONTA" queryTableFieldId="7"/>
    <tableColumn id="8" xr3:uid="{F634345F-80CA-4009-85BE-89161D938D79}" uniqueName="8" name="CENCUS" queryTableFieldId="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A2E3AF8-2974-4AB0-A30C-E3A95AC27138}" name="FLCX" displayName="FLCX" ref="J6:Q18" tableType="queryTable" totalsRowShown="0">
  <autoFilter ref="J6:Q18" xr:uid="{CA2E3AF8-2974-4AB0-A30C-E3A95AC27138}"/>
  <tableColumns count="8">
    <tableColumn id="1" xr3:uid="{57547371-A0A7-4779-8B37-F83F26B1797B}" uniqueName="1" name="EMPRESA" queryTableFieldId="1"/>
    <tableColumn id="2" xr3:uid="{6089AF33-D786-4C73-A26D-46657C22369D}" uniqueName="2" name="FILIAL" queryTableFieldId="2"/>
    <tableColumn id="3" xr3:uid="{30E664A2-3A5C-4461-8A04-43775937FAAF}" uniqueName="3" name="NEGOCIO" queryTableFieldId="3"/>
    <tableColumn id="4" xr3:uid="{9A87C644-A626-4925-A54C-1160353D93A8}" uniqueName="4" name="DATA" queryTableFieldId="4" dataDxfId="2"/>
    <tableColumn id="5" xr3:uid="{CA0C8E82-8BF5-4C87-B890-122EBC0A57FF}" uniqueName="5" name="VALOR" queryTableFieldId="5" dataDxfId="0"/>
    <tableColumn id="6" xr3:uid="{DE4E100C-F73D-44F9-8065-B17D5415DF9A}" uniqueName="6" name="HISTORICO" queryTableFieldId="6" dataDxfId="1"/>
    <tableColumn id="7" xr3:uid="{CE8908BB-90E4-4732-86A7-733167BB3B68}" uniqueName="7" name="CONTA" queryTableFieldId="7"/>
    <tableColumn id="8" xr3:uid="{8C55B4F7-A041-4C34-A2E9-63D98D9EF941}" uniqueName="8" name="CENCUS" queryTableFieldId="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6ACF9-965E-4C21-90F6-FBF4CA6BA97D}">
  <sheetPr codeName="Planilha1"/>
  <dimension ref="A1:C5"/>
  <sheetViews>
    <sheetView showGridLines="0" workbookViewId="0">
      <selection activeCell="E7" sqref="E7"/>
    </sheetView>
  </sheetViews>
  <sheetFormatPr defaultRowHeight="15" x14ac:dyDescent="0.25"/>
  <cols>
    <col min="1" max="1" width="18.28515625" customWidth="1"/>
    <col min="2" max="2" width="48.140625" customWidth="1"/>
    <col min="3" max="3" width="37.85546875" customWidth="1"/>
  </cols>
  <sheetData>
    <row r="1" spans="1:3" x14ac:dyDescent="0.25">
      <c r="A1" t="s">
        <v>8</v>
      </c>
      <c r="B1" t="s">
        <v>0</v>
      </c>
      <c r="C1" t="s">
        <v>1</v>
      </c>
    </row>
    <row r="2" spans="1:3" x14ac:dyDescent="0.25">
      <c r="A2" t="s">
        <v>2</v>
      </c>
      <c r="B2" t="s">
        <v>12</v>
      </c>
      <c r="C2" t="s">
        <v>3</v>
      </c>
    </row>
    <row r="3" spans="1:3" x14ac:dyDescent="0.25">
      <c r="A3" t="s">
        <v>4</v>
      </c>
      <c r="B3" t="s">
        <v>13</v>
      </c>
      <c r="C3" t="s">
        <v>5</v>
      </c>
    </row>
    <row r="4" spans="1:3" x14ac:dyDescent="0.25">
      <c r="A4" t="s">
        <v>6</v>
      </c>
      <c r="B4" s="1">
        <v>45581.717939814815</v>
      </c>
      <c r="C4" t="s">
        <v>7</v>
      </c>
    </row>
    <row r="5" spans="1:3" x14ac:dyDescent="0.25">
      <c r="A5" t="s">
        <v>14</v>
      </c>
      <c r="B5" s="2">
        <v>0.10249999999999999</v>
      </c>
      <c r="C5" t="s">
        <v>15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tualizar">
                <anchor moveWithCells="1" sizeWithCells="1">
                  <from>
                    <xdr:col>2</xdr:col>
                    <xdr:colOff>123825</xdr:colOff>
                    <xdr:row>8</xdr:row>
                    <xdr:rowOff>66675</xdr:rowOff>
                  </from>
                  <to>
                    <xdr:col>2</xdr:col>
                    <xdr:colOff>2238375</xdr:colOff>
                    <xdr:row>10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9131E-F761-4DCE-881A-C5D481AD6E3F}">
  <dimension ref="A1:C1"/>
  <sheetViews>
    <sheetView showGridLines="0" workbookViewId="0">
      <selection sqref="A1:C2"/>
    </sheetView>
  </sheetViews>
  <sheetFormatPr defaultRowHeight="15" x14ac:dyDescent="0.25"/>
  <cols>
    <col min="1" max="1" width="8.5703125" bestFit="1" customWidth="1"/>
    <col min="2" max="2" width="8.7109375" bestFit="1" customWidth="1"/>
    <col min="3" max="3" width="11.140625" bestFit="1" customWidth="1"/>
  </cols>
  <sheetData>
    <row r="1" spans="1:3" x14ac:dyDescent="0.25">
      <c r="A1" t="s">
        <v>9</v>
      </c>
      <c r="B1" t="s">
        <v>10</v>
      </c>
      <c r="C1" t="s">
        <v>11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20696-4ADD-43EF-8754-C04E4EF0994D}">
  <dimension ref="A1:Q18"/>
  <sheetViews>
    <sheetView showGridLines="0" tabSelected="1" workbookViewId="0">
      <selection activeCell="S8" sqref="S8"/>
    </sheetView>
  </sheetViews>
  <sheetFormatPr defaultRowHeight="15" x14ac:dyDescent="0.25"/>
  <cols>
    <col min="1" max="1" width="11.85546875" bestFit="1" customWidth="1"/>
    <col min="2" max="2" width="10.140625" bestFit="1" customWidth="1"/>
    <col min="3" max="3" width="12.140625" bestFit="1" customWidth="1"/>
    <col min="4" max="4" width="8" bestFit="1" customWidth="1"/>
    <col min="5" max="5" width="12" bestFit="1" customWidth="1"/>
    <col min="6" max="6" width="33" bestFit="1" customWidth="1"/>
    <col min="7" max="7" width="9.7109375" bestFit="1" customWidth="1"/>
    <col min="8" max="8" width="11.140625" bestFit="1" customWidth="1"/>
    <col min="10" max="10" width="11.85546875" bestFit="1" customWidth="1"/>
    <col min="11" max="11" width="8.5703125" bestFit="1" customWidth="1"/>
    <col min="12" max="12" width="12.140625" bestFit="1" customWidth="1"/>
    <col min="13" max="13" width="10.42578125" bestFit="1" customWidth="1"/>
    <col min="14" max="14" width="12" bestFit="1" customWidth="1"/>
    <col min="15" max="15" width="33" bestFit="1" customWidth="1"/>
    <col min="16" max="16" width="9.7109375" bestFit="1" customWidth="1"/>
    <col min="17" max="17" width="11.140625" bestFit="1" customWidth="1"/>
  </cols>
  <sheetData>
    <row r="1" spans="1:17" x14ac:dyDescent="0.25">
      <c r="A1" s="4" t="s">
        <v>16</v>
      </c>
      <c r="B1" s="5">
        <f>SUM(DRE[VALOR])</f>
        <v>130480.84671600004</v>
      </c>
    </row>
    <row r="2" spans="1:17" x14ac:dyDescent="0.25">
      <c r="A2" s="3" t="s">
        <v>17</v>
      </c>
      <c r="B2" s="6">
        <f>SUM(FLCX[VALOR])</f>
        <v>130480.84671600004</v>
      </c>
    </row>
    <row r="3" spans="1:17" x14ac:dyDescent="0.25">
      <c r="B3" s="7">
        <f>B1-B2</f>
        <v>0</v>
      </c>
    </row>
    <row r="5" spans="1:17" x14ac:dyDescent="0.25">
      <c r="A5" t="s">
        <v>18</v>
      </c>
      <c r="J5" t="s">
        <v>19</v>
      </c>
    </row>
    <row r="6" spans="1:17" x14ac:dyDescent="0.25">
      <c r="A6" t="s">
        <v>20</v>
      </c>
      <c r="B6" t="s">
        <v>21</v>
      </c>
      <c r="C6" t="s">
        <v>22</v>
      </c>
      <c r="D6" t="s">
        <v>23</v>
      </c>
      <c r="E6" t="s">
        <v>24</v>
      </c>
      <c r="F6" t="s">
        <v>25</v>
      </c>
      <c r="G6" t="s">
        <v>26</v>
      </c>
      <c r="H6" t="s">
        <v>27</v>
      </c>
      <c r="J6" t="s">
        <v>20</v>
      </c>
      <c r="K6" t="s">
        <v>21</v>
      </c>
      <c r="L6" t="s">
        <v>22</v>
      </c>
      <c r="M6" t="s">
        <v>23</v>
      </c>
      <c r="N6" t="s">
        <v>24</v>
      </c>
      <c r="O6" t="s">
        <v>25</v>
      </c>
      <c r="P6" t="s">
        <v>26</v>
      </c>
      <c r="Q6" t="s">
        <v>27</v>
      </c>
    </row>
    <row r="7" spans="1:17" x14ac:dyDescent="0.25">
      <c r="A7" t="s">
        <v>28</v>
      </c>
      <c r="B7" t="s">
        <v>28</v>
      </c>
      <c r="C7" t="s">
        <v>28</v>
      </c>
      <c r="D7">
        <v>45658</v>
      </c>
      <c r="E7" s="7">
        <v>8456.25</v>
      </c>
      <c r="F7" s="8" t="s">
        <v>29</v>
      </c>
      <c r="G7" t="s">
        <v>30</v>
      </c>
      <c r="H7" t="s">
        <v>31</v>
      </c>
      <c r="J7" t="s">
        <v>28</v>
      </c>
      <c r="K7" t="s">
        <v>28</v>
      </c>
      <c r="L7" t="s">
        <v>28</v>
      </c>
      <c r="M7" s="9">
        <v>45689</v>
      </c>
      <c r="N7" s="7">
        <v>8456.25</v>
      </c>
      <c r="O7" s="8" t="s">
        <v>29</v>
      </c>
      <c r="P7" t="s">
        <v>30</v>
      </c>
      <c r="Q7" t="s">
        <v>31</v>
      </c>
    </row>
    <row r="8" spans="1:17" x14ac:dyDescent="0.25">
      <c r="A8" t="s">
        <v>28</v>
      </c>
      <c r="B8" t="s">
        <v>28</v>
      </c>
      <c r="C8" t="s">
        <v>28</v>
      </c>
      <c r="D8">
        <v>45689</v>
      </c>
      <c r="E8" s="7">
        <v>6088.5</v>
      </c>
      <c r="F8" s="8" t="s">
        <v>32</v>
      </c>
      <c r="G8" t="s">
        <v>30</v>
      </c>
      <c r="H8" t="s">
        <v>31</v>
      </c>
      <c r="J8" t="s">
        <v>28</v>
      </c>
      <c r="K8" t="s">
        <v>28</v>
      </c>
      <c r="L8" t="s">
        <v>28</v>
      </c>
      <c r="M8" s="9">
        <v>45717</v>
      </c>
      <c r="N8" s="7">
        <v>6088.5</v>
      </c>
      <c r="O8" s="8" t="s">
        <v>32</v>
      </c>
      <c r="P8" t="s">
        <v>30</v>
      </c>
      <c r="Q8" t="s">
        <v>31</v>
      </c>
    </row>
    <row r="9" spans="1:17" x14ac:dyDescent="0.25">
      <c r="A9" t="s">
        <v>28</v>
      </c>
      <c r="B9" t="s">
        <v>28</v>
      </c>
      <c r="C9" t="s">
        <v>28</v>
      </c>
      <c r="D9">
        <v>45717</v>
      </c>
      <c r="E9" s="7">
        <v>9406.7325000000001</v>
      </c>
      <c r="F9" s="8" t="s">
        <v>33</v>
      </c>
      <c r="G9" t="s">
        <v>30</v>
      </c>
      <c r="H9" t="s">
        <v>31</v>
      </c>
      <c r="J9" t="s">
        <v>28</v>
      </c>
      <c r="K9" t="s">
        <v>28</v>
      </c>
      <c r="L9" t="s">
        <v>28</v>
      </c>
      <c r="M9" s="9">
        <v>45748</v>
      </c>
      <c r="N9" s="7">
        <v>9406.7325000000001</v>
      </c>
      <c r="O9" s="8" t="s">
        <v>33</v>
      </c>
      <c r="P9" t="s">
        <v>30</v>
      </c>
      <c r="Q9" t="s">
        <v>31</v>
      </c>
    </row>
    <row r="10" spans="1:17" x14ac:dyDescent="0.25">
      <c r="A10" t="s">
        <v>28</v>
      </c>
      <c r="B10" t="s">
        <v>28</v>
      </c>
      <c r="C10" t="s">
        <v>28</v>
      </c>
      <c r="D10">
        <v>45748</v>
      </c>
      <c r="E10" s="7">
        <v>6619.5525000000007</v>
      </c>
      <c r="F10" s="8" t="s">
        <v>34</v>
      </c>
      <c r="G10" t="s">
        <v>30</v>
      </c>
      <c r="H10" t="s">
        <v>31</v>
      </c>
      <c r="J10" t="s">
        <v>28</v>
      </c>
      <c r="K10" t="s">
        <v>28</v>
      </c>
      <c r="L10" t="s">
        <v>28</v>
      </c>
      <c r="M10" s="9">
        <v>45778</v>
      </c>
      <c r="N10" s="7">
        <v>6619.5525000000007</v>
      </c>
      <c r="O10" s="8" t="s">
        <v>34</v>
      </c>
      <c r="P10" t="s">
        <v>30</v>
      </c>
      <c r="Q10" t="s">
        <v>31</v>
      </c>
    </row>
    <row r="11" spans="1:17" x14ac:dyDescent="0.25">
      <c r="A11" t="s">
        <v>28</v>
      </c>
      <c r="B11" t="s">
        <v>28</v>
      </c>
      <c r="C11" t="s">
        <v>28</v>
      </c>
      <c r="D11">
        <v>45778</v>
      </c>
      <c r="E11" s="7">
        <v>8333.6682000000019</v>
      </c>
      <c r="F11" s="8" t="s">
        <v>35</v>
      </c>
      <c r="G11" t="s">
        <v>30</v>
      </c>
      <c r="H11" t="s">
        <v>31</v>
      </c>
      <c r="J11" t="s">
        <v>28</v>
      </c>
      <c r="K11" t="s">
        <v>28</v>
      </c>
      <c r="L11" t="s">
        <v>28</v>
      </c>
      <c r="M11" s="9">
        <v>45809</v>
      </c>
      <c r="N11" s="7">
        <v>8333.6682000000019</v>
      </c>
      <c r="O11" s="8" t="s">
        <v>35</v>
      </c>
      <c r="P11" t="s">
        <v>30</v>
      </c>
      <c r="Q11" t="s">
        <v>31</v>
      </c>
    </row>
    <row r="12" spans="1:17" x14ac:dyDescent="0.25">
      <c r="A12" t="s">
        <v>28</v>
      </c>
      <c r="B12" t="s">
        <v>28</v>
      </c>
      <c r="C12" t="s">
        <v>28</v>
      </c>
      <c r="D12">
        <v>45809</v>
      </c>
      <c r="E12" s="7">
        <v>7971.3348000000024</v>
      </c>
      <c r="F12" s="8" t="s">
        <v>36</v>
      </c>
      <c r="G12" t="s">
        <v>30</v>
      </c>
      <c r="H12" t="s">
        <v>31</v>
      </c>
      <c r="J12" t="s">
        <v>28</v>
      </c>
      <c r="K12" t="s">
        <v>28</v>
      </c>
      <c r="L12" t="s">
        <v>28</v>
      </c>
      <c r="M12" s="9">
        <v>45839</v>
      </c>
      <c r="N12" s="7">
        <v>7971.3348000000024</v>
      </c>
      <c r="O12" s="8" t="s">
        <v>36</v>
      </c>
      <c r="P12" t="s">
        <v>30</v>
      </c>
      <c r="Q12" t="s">
        <v>31</v>
      </c>
    </row>
    <row r="13" spans="1:17" x14ac:dyDescent="0.25">
      <c r="A13" t="s">
        <v>28</v>
      </c>
      <c r="B13" t="s">
        <v>28</v>
      </c>
      <c r="C13" t="s">
        <v>28</v>
      </c>
      <c r="D13">
        <v>45839</v>
      </c>
      <c r="E13" s="7">
        <v>14493.336000000001</v>
      </c>
      <c r="F13" s="8" t="s">
        <v>37</v>
      </c>
      <c r="G13" t="s">
        <v>30</v>
      </c>
      <c r="H13" t="s">
        <v>31</v>
      </c>
      <c r="J13" t="s">
        <v>28</v>
      </c>
      <c r="K13" t="s">
        <v>28</v>
      </c>
      <c r="L13" t="s">
        <v>28</v>
      </c>
      <c r="M13" s="9">
        <v>45870</v>
      </c>
      <c r="N13" s="7">
        <v>14493.336000000001</v>
      </c>
      <c r="O13" s="8" t="s">
        <v>37</v>
      </c>
      <c r="P13" t="s">
        <v>30</v>
      </c>
      <c r="Q13" t="s">
        <v>31</v>
      </c>
    </row>
    <row r="14" spans="1:17" x14ac:dyDescent="0.25">
      <c r="A14" t="s">
        <v>28</v>
      </c>
      <c r="B14" t="s">
        <v>28</v>
      </c>
      <c r="C14" t="s">
        <v>28</v>
      </c>
      <c r="D14">
        <v>45870</v>
      </c>
      <c r="E14" s="7">
        <v>12935.302380000003</v>
      </c>
      <c r="F14" s="8" t="s">
        <v>38</v>
      </c>
      <c r="G14" t="s">
        <v>30</v>
      </c>
      <c r="H14" t="s">
        <v>31</v>
      </c>
      <c r="J14" t="s">
        <v>28</v>
      </c>
      <c r="K14" t="s">
        <v>28</v>
      </c>
      <c r="L14" t="s">
        <v>28</v>
      </c>
      <c r="M14" s="9">
        <v>45901</v>
      </c>
      <c r="N14" s="7">
        <v>12935.302380000003</v>
      </c>
      <c r="O14" s="8" t="s">
        <v>38</v>
      </c>
      <c r="P14" t="s">
        <v>30</v>
      </c>
      <c r="Q14" t="s">
        <v>31</v>
      </c>
    </row>
    <row r="15" spans="1:17" x14ac:dyDescent="0.25">
      <c r="A15" t="s">
        <v>28</v>
      </c>
      <c r="B15" t="s">
        <v>28</v>
      </c>
      <c r="C15" t="s">
        <v>28</v>
      </c>
      <c r="D15">
        <v>45901</v>
      </c>
      <c r="E15" s="7">
        <v>12196.142244000004</v>
      </c>
      <c r="F15" s="8" t="s">
        <v>39</v>
      </c>
      <c r="G15" t="s">
        <v>30</v>
      </c>
      <c r="H15" t="s">
        <v>31</v>
      </c>
      <c r="J15" t="s">
        <v>28</v>
      </c>
      <c r="K15" t="s">
        <v>28</v>
      </c>
      <c r="L15" t="s">
        <v>28</v>
      </c>
      <c r="M15" s="9">
        <v>45931</v>
      </c>
      <c r="N15" s="7">
        <v>12196.142244000004</v>
      </c>
      <c r="O15" s="8" t="s">
        <v>39</v>
      </c>
      <c r="P15" t="s">
        <v>30</v>
      </c>
      <c r="Q15" t="s">
        <v>31</v>
      </c>
    </row>
    <row r="16" spans="1:17" x14ac:dyDescent="0.25">
      <c r="A16" t="s">
        <v>28</v>
      </c>
      <c r="B16" t="s">
        <v>28</v>
      </c>
      <c r="C16" t="s">
        <v>28</v>
      </c>
      <c r="D16">
        <v>45931</v>
      </c>
      <c r="E16" s="7">
        <v>11456.982108000004</v>
      </c>
      <c r="F16" s="8" t="s">
        <v>40</v>
      </c>
      <c r="G16" t="s">
        <v>30</v>
      </c>
      <c r="H16" t="s">
        <v>31</v>
      </c>
      <c r="J16" t="s">
        <v>28</v>
      </c>
      <c r="K16" t="s">
        <v>28</v>
      </c>
      <c r="L16" t="s">
        <v>28</v>
      </c>
      <c r="M16" s="9">
        <v>45962</v>
      </c>
      <c r="N16" s="7">
        <v>11456.982108000004</v>
      </c>
      <c r="O16" s="8" t="s">
        <v>40</v>
      </c>
      <c r="P16" t="s">
        <v>30</v>
      </c>
      <c r="Q16" t="s">
        <v>31</v>
      </c>
    </row>
    <row r="17" spans="1:17" x14ac:dyDescent="0.25">
      <c r="A17" t="s">
        <v>28</v>
      </c>
      <c r="B17" t="s">
        <v>28</v>
      </c>
      <c r="C17" t="s">
        <v>28</v>
      </c>
      <c r="D17">
        <v>45962</v>
      </c>
      <c r="E17" s="7">
        <v>14044.042584000003</v>
      </c>
      <c r="F17" s="8" t="s">
        <v>41</v>
      </c>
      <c r="G17" t="s">
        <v>30</v>
      </c>
      <c r="H17" t="s">
        <v>31</v>
      </c>
      <c r="J17" t="s">
        <v>28</v>
      </c>
      <c r="K17" t="s">
        <v>28</v>
      </c>
      <c r="L17" t="s">
        <v>28</v>
      </c>
      <c r="M17" s="9">
        <v>45992</v>
      </c>
      <c r="N17" s="7">
        <v>14044.042584000003</v>
      </c>
      <c r="O17" s="8" t="s">
        <v>41</v>
      </c>
      <c r="P17" t="s">
        <v>30</v>
      </c>
      <c r="Q17" t="s">
        <v>31</v>
      </c>
    </row>
    <row r="18" spans="1:17" x14ac:dyDescent="0.25">
      <c r="A18" t="s">
        <v>28</v>
      </c>
      <c r="B18" t="s">
        <v>28</v>
      </c>
      <c r="C18" t="s">
        <v>28</v>
      </c>
      <c r="D18">
        <v>45992</v>
      </c>
      <c r="E18" s="7">
        <v>18479.003400000005</v>
      </c>
      <c r="F18" s="8" t="s">
        <v>42</v>
      </c>
      <c r="G18" t="s">
        <v>30</v>
      </c>
      <c r="H18" t="s">
        <v>31</v>
      </c>
      <c r="J18" t="s">
        <v>28</v>
      </c>
      <c r="K18" t="s">
        <v>28</v>
      </c>
      <c r="L18" t="s">
        <v>28</v>
      </c>
      <c r="M18" s="9">
        <v>46023</v>
      </c>
      <c r="N18" s="7">
        <v>18479.003400000005</v>
      </c>
      <c r="O18" s="8" t="s">
        <v>42</v>
      </c>
      <c r="P18" t="s">
        <v>30</v>
      </c>
      <c r="Q18" t="s">
        <v>31</v>
      </c>
    </row>
  </sheetData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F10BCB-BF6E-43DD-B6A4-F5137745FA1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Parametros</vt:lpstr>
      <vt:lpstr>Erros</vt:lpstr>
      <vt:lpstr>Fim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Jefferson Fantasia</dc:creator>
  <cp:keywords/>
  <dc:description/>
  <cp:lastModifiedBy>Jefferson Fantasia</cp:lastModifiedBy>
  <cp:revision/>
  <dcterms:created xsi:type="dcterms:W3CDTF">2024-10-16T16:46:11Z</dcterms:created>
  <dcterms:modified xsi:type="dcterms:W3CDTF">2024-10-17T17:06:11Z</dcterms:modified>
  <cp:category/>
  <cp:contentStatus/>
</cp:coreProperties>
</file>
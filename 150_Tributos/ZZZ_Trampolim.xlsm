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50_Tributos/"/>
    </mc:Choice>
  </mc:AlternateContent>
  <xr:revisionPtr revIDLastSave="170" documentId="8_{3FC7CE8A-A8E3-48C6-BAED-60166CE70BF3}" xr6:coauthVersionLast="47" xr6:coauthVersionMax="47" xr10:uidLastSave="{554A9633-BEC2-411E-81D8-6A4BA467F0CA}"/>
  <bookViews>
    <workbookView xWindow="-120" yWindow="-120" windowWidth="38640" windowHeight="2112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Fim!$A$6:$H$18</definedName>
    <definedName name="DadosExternos_2" localSheetId="2" hidden="1">Fim!$J$6:$Q$18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2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3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4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5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6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7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8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9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0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1" xr16:uid="{CB802F45-EA2C-48F3-B925-33F212C60F6B}" keepAlive="1" name="Consulta - PercImposto" description="Conexão com a consulta 'PercImposto' na pasta de trabalho." type="5" refreshedVersion="0" background="1">
    <dbPr connection="Provider=Microsoft.Mashup.OleDb.1;Data Source=$Workbook$;Location=PercImposto;Extended Properties=&quot;&quot;" command="SELECT * FROM [PercImposto]"/>
  </connection>
</connections>
</file>

<file path=xl/sharedStrings.xml><?xml version="1.0" encoding="utf-8"?>
<sst xmlns="http://schemas.openxmlformats.org/spreadsheetml/2006/main" count="180" uniqueCount="43">
  <si>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</si>
  <si>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</si>
  <si>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</si>
  <si>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</si>
  <si>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</si>
  <si>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</si>
  <si>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</si>
  <si>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</si>
  <si>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</si>
  <si>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</si>
  <si>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</si>
  <si>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</si>
  <si>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https://jcbrothers-my.sharepoint.com/personal/jefferson_lojasjckids_com_br/Documents/Cursos/OrcamentoPadaria/150_Tributos</t>
  </si>
  <si>
    <t>ZZZ_Trampolim.xlsm</t>
  </si>
  <si>
    <t>Aliquota</t>
  </si>
  <si>
    <t>Aliquota de imposto Simples Nacional</t>
  </si>
  <si>
    <t>DRE</t>
  </si>
  <si>
    <t>FLCX</t>
  </si>
  <si>
    <t>BASE DRE</t>
  </si>
  <si>
    <t>BASE 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</si>
  <si>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</si>
  <si>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</si>
  <si>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</si>
  <si>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</si>
  <si>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</si>
  <si>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</si>
  <si>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</si>
  <si>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</si>
  <si>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</si>
  <si>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IMPOSTOS PREV. - PERIODO 01/2025</t>
  </si>
  <si>
    <t>99</t>
  </si>
  <si>
    <t>IMPOSTOS PREV. - PERIODO 02/2025</t>
  </si>
  <si>
    <t>IMPOSTOS PREV. - PERIODO 03/2025</t>
  </si>
  <si>
    <t>IMPOSTOS PREV. - PERIODO 04/2025</t>
  </si>
  <si>
    <t>IMPOSTOS PREV. - PERIODO 05/2025</t>
  </si>
  <si>
    <t>IMPOSTOS PREV. - PERIODO 06/2025</t>
  </si>
  <si>
    <t>IMPOSTOS PREV. - PERIODO 07/2025</t>
  </si>
  <si>
    <t>IMPOSTOS PREV. - PERIODO 08/2025</t>
  </si>
  <si>
    <t>IMPOSTOS PREV. - PERIODO 09/2025</t>
  </si>
  <si>
    <t>IMPOSTOS PREV. - PERIODO 10/2025</t>
  </si>
  <si>
    <t>IMPOSTOS PREV. - PERIODO 11/2025</t>
  </si>
  <si>
    <t>IMPOSTOS PREV. - PERIODO 12/2025</t>
  </si>
  <si>
    <t>3108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</si>
</sst>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22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8">
    <dxf>
      <numFmt numFmtId="4" formatCode="#,##0.00"/>
    </dxf>
    <dxf>
      <numFmt numFmtId="19" formatCode="m/d/yyyy"/>
    </dxf>
    <dxf>
      <numFmt numFmtId="0" formatCode="General"/>
    </dxf>
    <dxf>
      <numFmt numFmtId="4" formatCode="#,##0.00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8</xdr:row>
          <xdr:rowOff>66675</xdr:rowOff>
        </xdr:from>
        <xdr:to>
          <xdr:col>2</xdr:col>
          <xdr:colOff>2238375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2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0BECB472-7F7A-4E10-8E54-CCBCCED23CB0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3" xr16:uid="{C4788CAB-A8A3-420F-8A63-443CF160E03E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5" totalsRowShown="0">
  <autoFilter ref="A1:C5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7CB2A2-1712-4897-AFBA-574690EAB6C2}" name="DRE" displayName="DRE" ref="A6:H18" tableType="queryTable" totalsRowShown="0">
  <autoFilter ref="A6:H18" xr:uid="{907CB2A2-1712-4897-AFBA-574690EAB6C2}"/>
  <tableColumns count="8">
    <tableColumn id="1" xr3:uid="{C2C99A26-55D5-48D0-84AA-6F4689FF7852}" uniqueName="1" name="EMPRESA" queryTableFieldId="1"/>
    <tableColumn id="2" xr3:uid="{AC64456D-8164-4769-A9A0-CDD61042EAB3}" uniqueName="2" name="FILIAL" queryTableFieldId="2"/>
    <tableColumn id="3" xr3:uid="{D6E2F8D5-C3BC-433F-8A79-BDFF57D94087}" uniqueName="3" name="NEGOCIO" queryTableFieldId="3"/>
    <tableColumn id="4" xr3:uid="{CC9969BC-7086-4280-967F-F9A049A10B1A}" uniqueName="4" name="DATA" queryTableFieldId="4" dataDxfId="1"/>
    <tableColumn id="5" xr3:uid="{C9C9497F-B66A-48C5-B759-236A93106D0C}" uniqueName="5" name="VALOR" queryTableFieldId="5" dataDxfId="0"/>
    <tableColumn id="6" xr3:uid="{0495BD35-F95E-4CBA-A1C9-D8B9F22DAFF1}" uniqueName="6" name="HISTORICO" queryTableFieldId="6" dataDxfId="7"/>
    <tableColumn id="7" xr3:uid="{D887B787-8D10-4B99-B978-FC0F37983D06}" uniqueName="7" name="CONTA" queryTableFieldId="7" dataDxfId="6"/>
    <tableColumn id="8" xr3:uid="{F634345F-80CA-4009-85BE-89161D938D79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2E3AF8-2974-4AB0-A30C-E3A95AC27138}" name="FLCX" displayName="FLCX" ref="J6:Q18" tableType="queryTable" totalsRowShown="0">
  <autoFilter ref="J6:Q18" xr:uid="{CA2E3AF8-2974-4AB0-A30C-E3A95AC27138}"/>
  <tableColumns count="8">
    <tableColumn id="1" xr3:uid="{57547371-A0A7-4779-8B37-F83F26B1797B}" uniqueName="1" name="EMPRESA" queryTableFieldId="1"/>
    <tableColumn id="2" xr3:uid="{6089AF33-D786-4C73-A26D-46657C22369D}" uniqueName="2" name="FILIAL" queryTableFieldId="2"/>
    <tableColumn id="3" xr3:uid="{30E664A2-3A5C-4461-8A04-43775937FAAF}" uniqueName="3" name="NEGOCIO" queryTableFieldId="3"/>
    <tableColumn id="4" xr3:uid="{9A87C644-A626-4925-A54C-1160353D93A8}" uniqueName="4" name="DATA" queryTableFieldId="4" dataDxfId="4"/>
    <tableColumn id="5" xr3:uid="{CA0C8E82-8BF5-4C87-B890-122EBC0A57FF}" uniqueName="5" name="VALOR" queryTableFieldId="5" dataDxfId="3"/>
    <tableColumn id="6" xr3:uid="{DE4E100C-F73D-44F9-8065-B17D5415DF9A}" uniqueName="6" name="HISTORICO" queryTableFieldId="6" dataDxfId="5"/>
    <tableColumn id="7" xr3:uid="{CE8908BB-90E4-4732-86A7-733167BB3B68}" uniqueName="7" name="CONTA" queryTableFieldId="7" dataDxfId="2"/>
    <tableColumn id="8" xr3:uid="{8C55B4F7-A041-4C34-A2E9-63D98D9EF941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5"/>
  <sheetViews>
    <sheetView showGridLines="0" workbookViewId="0">
      <selection activeCell="E7" sqref="E7"/>
    </sheetView>
  </sheetViews>
  <sheetFormatPr defaultRowHeight="15" x14ac:dyDescent="0.25"/>
  <cols>
    <col min="1" max="1" width="18.28515625" customWidth="1"/>
    <col min="2" max="2" width="48.140625" customWidth="1"/>
    <col min="3" max="3" width="37.85546875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13</v>
      </c>
      <c r="C3" t="s">
        <v>5</v>
      </c>
    </row>
    <row r="4" spans="1:3" x14ac:dyDescent="0.25">
      <c r="A4" t="s">
        <v>6</v>
      </c>
      <c r="B4" s="1">
        <v>45583.776608796295</v>
      </c>
      <c r="C4" t="s">
        <v>7</v>
      </c>
    </row>
    <row r="5" spans="1:3" x14ac:dyDescent="0.25">
      <c r="A5" t="s">
        <v>14</v>
      </c>
      <c r="B5" s="2">
        <v>0.10249999999999999</v>
      </c>
      <c r="C5" t="s">
        <v>15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123825</xdr:colOff>
                    <xdr:row>8</xdr:row>
                    <xdr:rowOff>66675</xdr:rowOff>
                  </from>
                  <to>
                    <xdr:col>2</xdr:col>
                    <xdr:colOff>2238375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20696-4ADD-43EF-8754-C04E4EF0994D}">
  <sheetPr codeName="Planilha3"/>
  <dimension ref="A1:Q18"/>
  <sheetViews>
    <sheetView showGridLines="0" workbookViewId="0">
      <selection activeCell="E7" sqref="E7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" bestFit="1" customWidth="1"/>
    <col min="6" max="6" width="33.140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33.140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4" t="s">
        <v>16</v>
      </c>
      <c r="B1" s="5">
        <f>SUM(DRE[VALOR])</f>
        <v>-521923.38686400017</v>
      </c>
    </row>
    <row r="2" spans="1:17" x14ac:dyDescent="0.25">
      <c r="A2" s="3" t="s">
        <v>17</v>
      </c>
      <c r="B2" s="6">
        <f>SUM(FLCX[VALOR])</f>
        <v>-521923.38686400017</v>
      </c>
    </row>
    <row r="3" spans="1:17" x14ac:dyDescent="0.25">
      <c r="B3" s="7">
        <f>B1-B2</f>
        <v>0</v>
      </c>
    </row>
    <row r="5" spans="1:17" x14ac:dyDescent="0.25">
      <c r="A5" t="s">
        <v>18</v>
      </c>
      <c r="J5" t="s">
        <v>19</v>
      </c>
    </row>
    <row r="6" spans="1:17" x14ac:dyDescent="0.25">
      <c r="A6" t="s">
        <v>20</v>
      </c>
      <c r="B6" t="s">
        <v>21</v>
      </c>
      <c r="C6" t="s">
        <v>22</v>
      </c>
      <c r="D6" t="s">
        <v>23</v>
      </c>
      <c r="E6" t="s">
        <v>24</v>
      </c>
      <c r="F6" t="s">
        <v>25</v>
      </c>
      <c r="G6" t="s">
        <v>26</v>
      </c>
      <c r="H6" t="s">
        <v>27</v>
      </c>
      <c r="J6" t="s">
        <v>20</v>
      </c>
      <c r="K6" t="s">
        <v>21</v>
      </c>
      <c r="L6" t="s">
        <v>22</v>
      </c>
      <c r="M6" t="s">
        <v>23</v>
      </c>
      <c r="N6" t="s">
        <v>24</v>
      </c>
      <c r="O6" t="s">
        <v>25</v>
      </c>
      <c r="P6" t="s">
        <v>26</v>
      </c>
      <c r="Q6" t="s">
        <v>27</v>
      </c>
    </row>
    <row r="7" spans="1:17" x14ac:dyDescent="0.25">
      <c r="A7" t="s">
        <v>28</v>
      </c>
      <c r="B7" t="s">
        <v>28</v>
      </c>
      <c r="C7" t="s">
        <v>28</v>
      </c>
      <c r="D7" s="8">
        <v>45658</v>
      </c>
      <c r="E7" s="7">
        <v>-33825</v>
      </c>
      <c r="F7" t="s">
        <v>29</v>
      </c>
      <c r="G7" t="s">
        <v>42</v>
      </c>
      <c r="H7" t="s">
        <v>30</v>
      </c>
      <c r="J7" t="s">
        <v>28</v>
      </c>
      <c r="K7" t="s">
        <v>28</v>
      </c>
      <c r="L7" t="s">
        <v>28</v>
      </c>
      <c r="M7" s="8">
        <v>45689</v>
      </c>
      <c r="N7" s="7">
        <v>-33825</v>
      </c>
      <c r="O7" t="s">
        <v>29</v>
      </c>
      <c r="P7" s="9" t="s">
        <v>42</v>
      </c>
      <c r="Q7" t="s">
        <v>30</v>
      </c>
    </row>
    <row r="8" spans="1:17" x14ac:dyDescent="0.25">
      <c r="A8" t="s">
        <v>28</v>
      </c>
      <c r="B8" t="s">
        <v>28</v>
      </c>
      <c r="C8" t="s">
        <v>28</v>
      </c>
      <c r="D8" s="8">
        <v>45689</v>
      </c>
      <c r="E8" s="7">
        <v>-24354</v>
      </c>
      <c r="F8" t="s">
        <v>31</v>
      </c>
      <c r="G8" t="s">
        <v>42</v>
      </c>
      <c r="H8" t="s">
        <v>30</v>
      </c>
      <c r="J8" t="s">
        <v>28</v>
      </c>
      <c r="K8" t="s">
        <v>28</v>
      </c>
      <c r="L8" t="s">
        <v>28</v>
      </c>
      <c r="M8" s="8">
        <v>45717</v>
      </c>
      <c r="N8" s="7">
        <v>-24354</v>
      </c>
      <c r="O8" t="s">
        <v>31</v>
      </c>
      <c r="P8" s="9" t="s">
        <v>42</v>
      </c>
      <c r="Q8" t="s">
        <v>30</v>
      </c>
    </row>
    <row r="9" spans="1:17" x14ac:dyDescent="0.25">
      <c r="A9" t="s">
        <v>28</v>
      </c>
      <c r="B9" t="s">
        <v>28</v>
      </c>
      <c r="C9" t="s">
        <v>28</v>
      </c>
      <c r="D9" s="8">
        <v>45717</v>
      </c>
      <c r="E9" s="7">
        <v>-37626.93</v>
      </c>
      <c r="F9" t="s">
        <v>32</v>
      </c>
      <c r="G9" t="s">
        <v>42</v>
      </c>
      <c r="H9" t="s">
        <v>30</v>
      </c>
      <c r="J9" t="s">
        <v>28</v>
      </c>
      <c r="K9" t="s">
        <v>28</v>
      </c>
      <c r="L9" t="s">
        <v>28</v>
      </c>
      <c r="M9" s="8">
        <v>45748</v>
      </c>
      <c r="N9" s="7">
        <v>-37626.93</v>
      </c>
      <c r="O9" t="s">
        <v>32</v>
      </c>
      <c r="P9" s="9" t="s">
        <v>42</v>
      </c>
      <c r="Q9" t="s">
        <v>30</v>
      </c>
    </row>
    <row r="10" spans="1:17" x14ac:dyDescent="0.25">
      <c r="A10" t="s">
        <v>28</v>
      </c>
      <c r="B10" t="s">
        <v>28</v>
      </c>
      <c r="C10" t="s">
        <v>28</v>
      </c>
      <c r="D10" s="8">
        <v>45748</v>
      </c>
      <c r="E10" s="7">
        <v>-26478.210000000003</v>
      </c>
      <c r="F10" t="s">
        <v>33</v>
      </c>
      <c r="G10" t="s">
        <v>42</v>
      </c>
      <c r="H10" t="s">
        <v>30</v>
      </c>
      <c r="J10" t="s">
        <v>28</v>
      </c>
      <c r="K10" t="s">
        <v>28</v>
      </c>
      <c r="L10" t="s">
        <v>28</v>
      </c>
      <c r="M10" s="8">
        <v>45778</v>
      </c>
      <c r="N10" s="7">
        <v>-26478.210000000003</v>
      </c>
      <c r="O10" t="s">
        <v>33</v>
      </c>
      <c r="P10" s="9" t="s">
        <v>42</v>
      </c>
      <c r="Q10" t="s">
        <v>30</v>
      </c>
    </row>
    <row r="11" spans="1:17" x14ac:dyDescent="0.25">
      <c r="A11" t="s">
        <v>28</v>
      </c>
      <c r="B11" t="s">
        <v>28</v>
      </c>
      <c r="C11" t="s">
        <v>28</v>
      </c>
      <c r="D11" s="8">
        <v>45778</v>
      </c>
      <c r="E11" s="7">
        <v>-33334.672800000008</v>
      </c>
      <c r="F11" t="s">
        <v>34</v>
      </c>
      <c r="G11" t="s">
        <v>42</v>
      </c>
      <c r="H11" t="s">
        <v>30</v>
      </c>
      <c r="J11" t="s">
        <v>28</v>
      </c>
      <c r="K11" t="s">
        <v>28</v>
      </c>
      <c r="L11" t="s">
        <v>28</v>
      </c>
      <c r="M11" s="8">
        <v>45809</v>
      </c>
      <c r="N11" s="7">
        <v>-33334.672800000008</v>
      </c>
      <c r="O11" t="s">
        <v>34</v>
      </c>
      <c r="P11" s="9" t="s">
        <v>42</v>
      </c>
      <c r="Q11" t="s">
        <v>30</v>
      </c>
    </row>
    <row r="12" spans="1:17" x14ac:dyDescent="0.25">
      <c r="A12" t="s">
        <v>28</v>
      </c>
      <c r="B12" t="s">
        <v>28</v>
      </c>
      <c r="C12" t="s">
        <v>28</v>
      </c>
      <c r="D12" s="8">
        <v>45809</v>
      </c>
      <c r="E12" s="7">
        <v>-31885.339200000009</v>
      </c>
      <c r="F12" t="s">
        <v>35</v>
      </c>
      <c r="G12" t="s">
        <v>42</v>
      </c>
      <c r="H12" t="s">
        <v>30</v>
      </c>
      <c r="J12" t="s">
        <v>28</v>
      </c>
      <c r="K12" t="s">
        <v>28</v>
      </c>
      <c r="L12" t="s">
        <v>28</v>
      </c>
      <c r="M12" s="8">
        <v>45839</v>
      </c>
      <c r="N12" s="7">
        <v>-31885.339200000009</v>
      </c>
      <c r="O12" t="s">
        <v>35</v>
      </c>
      <c r="P12" s="9" t="s">
        <v>42</v>
      </c>
      <c r="Q12" t="s">
        <v>30</v>
      </c>
    </row>
    <row r="13" spans="1:17" x14ac:dyDescent="0.25">
      <c r="A13" t="s">
        <v>28</v>
      </c>
      <c r="B13" t="s">
        <v>28</v>
      </c>
      <c r="C13" t="s">
        <v>28</v>
      </c>
      <c r="D13" s="8">
        <v>45839</v>
      </c>
      <c r="E13" s="7">
        <v>-57973.344000000005</v>
      </c>
      <c r="F13" t="s">
        <v>36</v>
      </c>
      <c r="G13" t="s">
        <v>42</v>
      </c>
      <c r="H13" t="s">
        <v>30</v>
      </c>
      <c r="J13" t="s">
        <v>28</v>
      </c>
      <c r="K13" t="s">
        <v>28</v>
      </c>
      <c r="L13" t="s">
        <v>28</v>
      </c>
      <c r="M13" s="8">
        <v>45870</v>
      </c>
      <c r="N13" s="7">
        <v>-57973.344000000005</v>
      </c>
      <c r="O13" t="s">
        <v>36</v>
      </c>
      <c r="P13" s="9" t="s">
        <v>42</v>
      </c>
      <c r="Q13" t="s">
        <v>30</v>
      </c>
    </row>
    <row r="14" spans="1:17" x14ac:dyDescent="0.25">
      <c r="A14" t="s">
        <v>28</v>
      </c>
      <c r="B14" t="s">
        <v>28</v>
      </c>
      <c r="C14" t="s">
        <v>28</v>
      </c>
      <c r="D14" s="8">
        <v>45870</v>
      </c>
      <c r="E14" s="7">
        <v>-51741.209520000011</v>
      </c>
      <c r="F14" t="s">
        <v>37</v>
      </c>
      <c r="G14" t="s">
        <v>42</v>
      </c>
      <c r="H14" t="s">
        <v>30</v>
      </c>
      <c r="J14" t="s">
        <v>28</v>
      </c>
      <c r="K14" t="s">
        <v>28</v>
      </c>
      <c r="L14" t="s">
        <v>28</v>
      </c>
      <c r="M14" s="8">
        <v>45901</v>
      </c>
      <c r="N14" s="7">
        <v>-51741.209520000011</v>
      </c>
      <c r="O14" t="s">
        <v>37</v>
      </c>
      <c r="P14" s="9" t="s">
        <v>42</v>
      </c>
      <c r="Q14" t="s">
        <v>30</v>
      </c>
    </row>
    <row r="15" spans="1:17" x14ac:dyDescent="0.25">
      <c r="A15" t="s">
        <v>28</v>
      </c>
      <c r="B15" t="s">
        <v>28</v>
      </c>
      <c r="C15" t="s">
        <v>28</v>
      </c>
      <c r="D15" s="8">
        <v>45901</v>
      </c>
      <c r="E15" s="7">
        <v>-48784.568976000017</v>
      </c>
      <c r="F15" t="s">
        <v>38</v>
      </c>
      <c r="G15" t="s">
        <v>42</v>
      </c>
      <c r="H15" t="s">
        <v>30</v>
      </c>
      <c r="J15" t="s">
        <v>28</v>
      </c>
      <c r="K15" t="s">
        <v>28</v>
      </c>
      <c r="L15" t="s">
        <v>28</v>
      </c>
      <c r="M15" s="8">
        <v>45931</v>
      </c>
      <c r="N15" s="7">
        <v>-48784.568976000017</v>
      </c>
      <c r="O15" t="s">
        <v>38</v>
      </c>
      <c r="P15" s="9" t="s">
        <v>42</v>
      </c>
      <c r="Q15" t="s">
        <v>30</v>
      </c>
    </row>
    <row r="16" spans="1:17" x14ac:dyDescent="0.25">
      <c r="A16" t="s">
        <v>28</v>
      </c>
      <c r="B16" t="s">
        <v>28</v>
      </c>
      <c r="C16" t="s">
        <v>28</v>
      </c>
      <c r="D16" s="8">
        <v>45931</v>
      </c>
      <c r="E16" s="7">
        <v>-45827.928432000015</v>
      </c>
      <c r="F16" t="s">
        <v>39</v>
      </c>
      <c r="G16" t="s">
        <v>42</v>
      </c>
      <c r="H16" t="s">
        <v>30</v>
      </c>
      <c r="J16" t="s">
        <v>28</v>
      </c>
      <c r="K16" t="s">
        <v>28</v>
      </c>
      <c r="L16" t="s">
        <v>28</v>
      </c>
      <c r="M16" s="8">
        <v>45962</v>
      </c>
      <c r="N16" s="7">
        <v>-45827.928432000015</v>
      </c>
      <c r="O16" t="s">
        <v>39</v>
      </c>
      <c r="P16" s="9" t="s">
        <v>42</v>
      </c>
      <c r="Q16" t="s">
        <v>30</v>
      </c>
    </row>
    <row r="17" spans="1:17" x14ac:dyDescent="0.25">
      <c r="A17" t="s">
        <v>28</v>
      </c>
      <c r="B17" t="s">
        <v>28</v>
      </c>
      <c r="C17" t="s">
        <v>28</v>
      </c>
      <c r="D17" s="8">
        <v>45962</v>
      </c>
      <c r="E17" s="7">
        <v>-56176.17033600001</v>
      </c>
      <c r="F17" t="s">
        <v>40</v>
      </c>
      <c r="G17" t="s">
        <v>42</v>
      </c>
      <c r="H17" t="s">
        <v>30</v>
      </c>
      <c r="J17" t="s">
        <v>28</v>
      </c>
      <c r="K17" t="s">
        <v>28</v>
      </c>
      <c r="L17" t="s">
        <v>28</v>
      </c>
      <c r="M17" s="8">
        <v>45992</v>
      </c>
      <c r="N17" s="7">
        <v>-56176.17033600001</v>
      </c>
      <c r="O17" t="s">
        <v>40</v>
      </c>
      <c r="P17" s="9" t="s">
        <v>42</v>
      </c>
      <c r="Q17" t="s">
        <v>30</v>
      </c>
    </row>
    <row r="18" spans="1:17" x14ac:dyDescent="0.25">
      <c r="A18" t="s">
        <v>28</v>
      </c>
      <c r="B18" t="s">
        <v>28</v>
      </c>
      <c r="C18" t="s">
        <v>28</v>
      </c>
      <c r="D18" s="8">
        <v>45992</v>
      </c>
      <c r="E18" s="7">
        <v>-73916.01360000002</v>
      </c>
      <c r="F18" t="s">
        <v>41</v>
      </c>
      <c r="G18" t="s">
        <v>42</v>
      </c>
      <c r="H18" t="s">
        <v>30</v>
      </c>
      <c r="J18" t="s">
        <v>28</v>
      </c>
      <c r="K18" t="s">
        <v>28</v>
      </c>
      <c r="L18" t="s">
        <v>28</v>
      </c>
      <c r="M18" s="8">
        <v>46023</v>
      </c>
      <c r="N18" s="7">
        <v>-73916.01360000002</v>
      </c>
      <c r="O18" t="s">
        <v>41</v>
      </c>
      <c r="P18" s="9" t="s">
        <v>42</v>
      </c>
      <c r="Q18" t="s">
        <v>30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2024-10-18T21:38:20Z</dcterms:modified>
  <cp:category/>
  <cp:contentStatus/>
</cp:coreProperties>
</file>